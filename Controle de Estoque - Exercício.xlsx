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https://d.docs.live.net/efef236b2c8bb538/Documentos/Curso de Excel/Módulo 2/"/>
    </mc:Choice>
  </mc:AlternateContent>
  <xr:revisionPtr revIDLastSave="180" documentId="11_AD4D361C20488DEA4E38A00164DE691A5ADEDD8D" xr6:coauthVersionLast="47" xr6:coauthVersionMax="47" xr10:uidLastSave="{3C070D23-79F3-4622-9750-6C5EE29ECC0C}"/>
  <bookViews>
    <workbookView xWindow="-108" yWindow="-108" windowWidth="23256" windowHeight="12456" activeTab="2" xr2:uid="{00000000-000D-0000-FFFF-FFFF00000000}"/>
  </bookViews>
  <sheets>
    <sheet name="MENU" sheetId="2" r:id="rId1"/>
    <sheet name="LANÇAMENTOS" sheetId="1" r:id="rId2"/>
    <sheet name="RELATÓRIO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7" i="3" l="1"/>
  <c r="M8" i="3"/>
  <c r="M9" i="3"/>
  <c r="M10" i="3"/>
  <c r="M11" i="3"/>
  <c r="M12" i="3"/>
  <c r="M13" i="3"/>
  <c r="M14" i="3"/>
  <c r="M15" i="3"/>
  <c r="M16" i="3"/>
  <c r="M17" i="3"/>
  <c r="M6" i="3"/>
  <c r="L7" i="3"/>
  <c r="L8" i="3"/>
  <c r="L9" i="3"/>
  <c r="L10" i="3"/>
  <c r="L11" i="3"/>
  <c r="L12" i="3"/>
  <c r="L13" i="3"/>
  <c r="L14" i="3"/>
  <c r="L15" i="3"/>
  <c r="L16" i="3"/>
  <c r="L17" i="3"/>
  <c r="L6" i="3"/>
  <c r="K6" i="3"/>
  <c r="K17" i="3"/>
  <c r="K16" i="3"/>
  <c r="K15" i="3"/>
  <c r="K14" i="3"/>
  <c r="K13" i="3"/>
  <c r="K12" i="3"/>
  <c r="K11" i="3"/>
  <c r="K10" i="3"/>
  <c r="K9" i="3"/>
  <c r="K8" i="3"/>
  <c r="K7" i="3"/>
  <c r="K8" i="1"/>
  <c r="K9" i="1"/>
  <c r="K10" i="1"/>
  <c r="K11" i="1" s="1"/>
  <c r="K12" i="1" s="1"/>
  <c r="K13" i="1" s="1"/>
  <c r="K14" i="1" s="1"/>
  <c r="K15" i="1" s="1"/>
  <c r="K16" i="1" s="1"/>
  <c r="K17" i="1" s="1"/>
  <c r="K18" i="1" s="1"/>
  <c r="K19" i="1" s="1"/>
  <c r="K7" i="1"/>
  <c r="F8" i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7" i="1"/>
</calcChain>
</file>

<file path=xl/sharedStrings.xml><?xml version="1.0" encoding="utf-8"?>
<sst xmlns="http://schemas.openxmlformats.org/spreadsheetml/2006/main" count="42" uniqueCount="37">
  <si>
    <t>Registro Diário de Movimentação</t>
  </si>
  <si>
    <t>P01</t>
  </si>
  <si>
    <t>P01 - Detalhameto do Dia</t>
  </si>
  <si>
    <t>Dia</t>
  </si>
  <si>
    <t>Entrada</t>
  </si>
  <si>
    <t>Saída</t>
  </si>
  <si>
    <t>Saldo</t>
  </si>
  <si>
    <t>Número</t>
  </si>
  <si>
    <t>Total</t>
  </si>
  <si>
    <t>Evolução Mensal do Estoque</t>
  </si>
  <si>
    <t>Mês</t>
  </si>
  <si>
    <t>P02</t>
  </si>
  <si>
    <t>P03</t>
  </si>
  <si>
    <t>P04</t>
  </si>
  <si>
    <t>P05</t>
  </si>
  <si>
    <t>P06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</si>
  <si>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</si>
  <si>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</si>
  <si>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</si>
  <si>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</si>
  <si>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</si>
  <si>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</si>
  <si>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</si>
  <si>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</si>
  <si>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</si>
  <si>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</si>
  <si>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</si>
  <si>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</si>
  <si>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Legenda</t>
  </si>
  <si>
    <t>Máximo:</t>
  </si>
  <si>
    <t>&lt;= 100</t>
  </si>
  <si>
    <t>Mínimo:</t>
  </si>
  <si>
    <t>&gt; 900</t>
  </si>
  <si>
    <t>Média</t>
  </si>
  <si>
    <t>&lt;= 320</t>
  </si>
  <si>
    <t>&lt; e &lt;= 550</t>
  </si>
  <si>
    <t>&gt; 550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</si>
</sst>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_ ;[Red]\-#,##0\ "/>
  </numFmts>
  <fonts count="7" x14ac:knownFonts="1">
    <font>
      <sz val="11"/>
      <color theme="1"/>
      <name val="Calibri"/>
      <family val="2"/>
      <scheme val="minor"/>
    </font>
    <font>
      <b/>
      <sz val="11"/>
      <color theme="1" tint="0.249977111117893"/>
      <name val="Calibri"/>
      <family val="2"/>
      <scheme val="minor"/>
    </font>
    <font>
      <sz val="11"/>
      <color theme="1" tint="0.249977111117893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</fills>
  <borders count="28">
    <border>
      <left/>
      <right/>
      <top/>
      <bottom/>
      <diagonal/>
    </border>
    <border>
      <left style="thin">
        <color theme="9" tint="-0.24994659260841701"/>
      </left>
      <right/>
      <top style="thin">
        <color theme="9" tint="-0.24994659260841701"/>
      </top>
      <bottom style="thin">
        <color theme="9" tint="-0.24994659260841701"/>
      </bottom>
      <diagonal/>
    </border>
    <border>
      <left/>
      <right/>
      <top style="thin">
        <color theme="9" tint="-0.24994659260841701"/>
      </top>
      <bottom style="thin">
        <color theme="9" tint="-0.24994659260841701"/>
      </bottom>
      <diagonal/>
    </border>
    <border>
      <left/>
      <right style="thin">
        <color theme="9" tint="-0.24994659260841701"/>
      </right>
      <top style="thin">
        <color theme="9" tint="-0.24994659260841701"/>
      </top>
      <bottom style="thin">
        <color theme="9" tint="-0.24994659260841701"/>
      </bottom>
      <diagonal/>
    </border>
    <border>
      <left style="thin">
        <color theme="9" tint="-0.24994659260841701"/>
      </left>
      <right/>
      <top style="thin">
        <color theme="9" tint="-0.24994659260841701"/>
      </top>
      <bottom/>
      <diagonal/>
    </border>
    <border>
      <left/>
      <right/>
      <top style="thin">
        <color theme="9" tint="-0.24994659260841701"/>
      </top>
      <bottom/>
      <diagonal/>
    </border>
    <border>
      <left/>
      <right style="thin">
        <color theme="9" tint="-0.24994659260841701"/>
      </right>
      <top style="thin">
        <color theme="9" tint="-0.24994659260841701"/>
      </top>
      <bottom/>
      <diagonal/>
    </border>
    <border>
      <left style="thin">
        <color theme="9" tint="-0.24994659260841701"/>
      </left>
      <right/>
      <top/>
      <bottom/>
      <diagonal/>
    </border>
    <border>
      <left/>
      <right style="thin">
        <color theme="9" tint="-0.24994659260841701"/>
      </right>
      <top/>
      <bottom/>
      <diagonal/>
    </border>
    <border>
      <left style="thin">
        <color theme="9" tint="-0.24994659260841701"/>
      </left>
      <right/>
      <top/>
      <bottom style="thin">
        <color theme="9" tint="-0.24994659260841701"/>
      </bottom>
      <diagonal/>
    </border>
    <border>
      <left/>
      <right/>
      <top/>
      <bottom style="thin">
        <color theme="9" tint="-0.24994659260841701"/>
      </bottom>
      <diagonal/>
    </border>
    <border>
      <left/>
      <right style="thin">
        <color theme="9" tint="-0.24994659260841701"/>
      </right>
      <top/>
      <bottom style="thin">
        <color theme="9" tint="-0.24994659260841701"/>
      </bottom>
      <diagonal/>
    </border>
    <border>
      <left style="thin">
        <color theme="9" tint="-0.499984740745262"/>
      </left>
      <right/>
      <top style="thin">
        <color theme="9" tint="-0.499984740745262"/>
      </top>
      <bottom/>
      <diagonal/>
    </border>
    <border>
      <left/>
      <right/>
      <top style="thin">
        <color theme="9" tint="-0.499984740745262"/>
      </top>
      <bottom/>
      <diagonal/>
    </border>
    <border>
      <left/>
      <right style="thin">
        <color theme="9" tint="-0.499984740745262"/>
      </right>
      <top style="thin">
        <color theme="9" tint="-0.499984740745262"/>
      </top>
      <bottom/>
      <diagonal/>
    </border>
    <border>
      <left style="thin">
        <color theme="9" tint="-0.499984740745262"/>
      </left>
      <right/>
      <top/>
      <bottom style="thin">
        <color theme="9" tint="-0.499984740745262"/>
      </bottom>
      <diagonal/>
    </border>
    <border>
      <left/>
      <right/>
      <top/>
      <bottom style="thin">
        <color theme="9" tint="-0.499984740745262"/>
      </bottom>
      <diagonal/>
    </border>
    <border>
      <left/>
      <right style="thin">
        <color theme="9" tint="-0.499984740745262"/>
      </right>
      <top/>
      <bottom style="thin">
        <color theme="9" tint="-0.499984740745262"/>
      </bottom>
      <diagonal/>
    </border>
    <border>
      <left style="thin">
        <color theme="9" tint="-0.499984740745262"/>
      </left>
      <right/>
      <top/>
      <bottom/>
      <diagonal/>
    </border>
    <border>
      <left/>
      <right style="thin">
        <color theme="9" tint="-0.499984740745262"/>
      </right>
      <top/>
      <bottom/>
      <diagonal/>
    </border>
    <border>
      <left style="thin">
        <color theme="9" tint="-0.499984740745262"/>
      </left>
      <right/>
      <top style="thin">
        <color theme="9" tint="-0.499984740745262"/>
      </top>
      <bottom style="thin">
        <color theme="9" tint="-0.499984740745262"/>
      </bottom>
      <diagonal/>
    </border>
    <border>
      <left/>
      <right/>
      <top style="thin">
        <color theme="9" tint="-0.499984740745262"/>
      </top>
      <bottom style="thin">
        <color theme="9" tint="-0.499984740745262"/>
      </bottom>
      <diagonal/>
    </border>
    <border>
      <left/>
      <right style="thin">
        <color theme="9" tint="-0.499984740745262"/>
      </right>
      <top style="thin">
        <color theme="9" tint="-0.499984740745262"/>
      </top>
      <bottom style="thin">
        <color theme="9" tint="-0.499984740745262"/>
      </bottom>
      <diagonal/>
    </border>
    <border>
      <left style="thin">
        <color theme="9" tint="-0.499984740745262"/>
      </left>
      <right/>
      <top/>
      <bottom style="thin">
        <color indexed="64"/>
      </bottom>
      <diagonal/>
    </border>
    <border>
      <left style="thin">
        <color theme="9" tint="-0.499984740745262"/>
      </left>
      <right style="thin">
        <color theme="9" tint="-0.499984740745262"/>
      </right>
      <top style="thin">
        <color theme="9" tint="-0.499984740745262"/>
      </top>
      <bottom style="thin">
        <color theme="9" tint="-0.499984740745262"/>
      </bottom>
      <diagonal/>
    </border>
    <border>
      <left style="thin">
        <color theme="9" tint="-0.499984740745262"/>
      </left>
      <right style="thin">
        <color theme="9" tint="-0.499984740745262"/>
      </right>
      <top/>
      <bottom/>
      <diagonal/>
    </border>
    <border>
      <left style="thin">
        <color theme="9" tint="-0.499984740745262"/>
      </left>
      <right style="thin">
        <color theme="9" tint="-0.499984740745262"/>
      </right>
      <top/>
      <bottom style="thin">
        <color theme="9" tint="-0.499984740745262"/>
      </bottom>
      <diagonal/>
    </border>
    <border>
      <left style="thin">
        <color theme="9" tint="-0.499984740745262"/>
      </left>
      <right style="thin">
        <color theme="9" tint="-0.499984740745262"/>
      </right>
      <top style="thin">
        <color theme="9" tint="-0.499984740745262"/>
      </top>
      <bottom/>
      <diagonal/>
    </border>
  </borders>
  <cellStyleXfs count="1">
    <xf numFmtId="0" fontId="0" fillId="0" borderId="0"/>
  </cellStyleXfs>
  <cellXfs count="76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3" borderId="1" xfId="0" applyFill="1" applyBorder="1"/>
    <xf numFmtId="0" fontId="0" fillId="3" borderId="2" xfId="0" applyFill="1" applyBorder="1"/>
    <xf numFmtId="0" fontId="0" fillId="3" borderId="2" xfId="0" applyFill="1" applyBorder="1" applyAlignment="1">
      <alignment horizontal="left"/>
    </xf>
    <xf numFmtId="0" fontId="0" fillId="3" borderId="3" xfId="0" applyFill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1" fillId="0" borderId="12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1" fillId="0" borderId="14" xfId="0" applyFont="1" applyBorder="1" applyAlignment="1">
      <alignment horizontal="right" vertical="center"/>
    </xf>
    <xf numFmtId="0" fontId="2" fillId="0" borderId="0" xfId="0" applyFont="1" applyAlignment="1">
      <alignment vertical="center"/>
    </xf>
    <xf numFmtId="14" fontId="1" fillId="0" borderId="14" xfId="0" applyNumberFormat="1" applyFont="1" applyBorder="1" applyAlignment="1">
      <alignment horizontal="right" vertical="center"/>
    </xf>
    <xf numFmtId="0" fontId="2" fillId="0" borderId="15" xfId="0" applyFont="1" applyBorder="1" applyAlignment="1">
      <alignment horizontal="left" vertical="center"/>
    </xf>
    <xf numFmtId="0" fontId="2" fillId="0" borderId="16" xfId="0" applyFont="1" applyBorder="1" applyAlignment="1">
      <alignment horizontal="right" vertical="center"/>
    </xf>
    <xf numFmtId="0" fontId="2" fillId="0" borderId="17" xfId="0" applyFont="1" applyBorder="1" applyAlignment="1">
      <alignment horizontal="right" vertical="center"/>
    </xf>
    <xf numFmtId="0" fontId="2" fillId="0" borderId="15" xfId="0" applyFont="1" applyBorder="1" applyAlignment="1">
      <alignment horizontal="right" vertical="center"/>
    </xf>
    <xf numFmtId="14" fontId="2" fillId="0" borderId="12" xfId="0" applyNumberFormat="1" applyFont="1" applyBorder="1" applyAlignment="1">
      <alignment horizontal="left" vertical="center"/>
    </xf>
    <xf numFmtId="164" fontId="2" fillId="0" borderId="13" xfId="0" applyNumberFormat="1" applyFont="1" applyBorder="1" applyAlignment="1">
      <alignment horizontal="right" vertical="center"/>
    </xf>
    <xf numFmtId="164" fontId="2" fillId="0" borderId="14" xfId="0" applyNumberFormat="1" applyFont="1" applyBorder="1" applyAlignment="1">
      <alignment horizontal="right" vertical="center"/>
    </xf>
    <xf numFmtId="0" fontId="2" fillId="0" borderId="12" xfId="0" applyFont="1" applyBorder="1" applyAlignment="1">
      <alignment horizontal="right" vertical="center"/>
    </xf>
    <xf numFmtId="14" fontId="2" fillId="0" borderId="18" xfId="0" applyNumberFormat="1" applyFont="1" applyBorder="1" applyAlignment="1">
      <alignment horizontal="left" vertical="center"/>
    </xf>
    <xf numFmtId="164" fontId="2" fillId="0" borderId="0" xfId="0" applyNumberFormat="1" applyFont="1" applyAlignment="1">
      <alignment horizontal="right" vertical="center"/>
    </xf>
    <xf numFmtId="164" fontId="2" fillId="0" borderId="19" xfId="0" applyNumberFormat="1" applyFont="1" applyBorder="1" applyAlignment="1">
      <alignment horizontal="right" vertical="center"/>
    </xf>
    <xf numFmtId="0" fontId="2" fillId="0" borderId="18" xfId="0" applyFont="1" applyBorder="1" applyAlignment="1">
      <alignment horizontal="right" vertical="center"/>
    </xf>
    <xf numFmtId="164" fontId="2" fillId="0" borderId="16" xfId="0" applyNumberFormat="1" applyFont="1" applyBorder="1" applyAlignment="1">
      <alignment horizontal="right" vertical="center"/>
    </xf>
    <xf numFmtId="0" fontId="2" fillId="0" borderId="20" xfId="0" applyFont="1" applyBorder="1" applyAlignment="1">
      <alignment horizontal="left" vertical="center"/>
    </xf>
    <xf numFmtId="164" fontId="2" fillId="0" borderId="21" xfId="0" applyNumberFormat="1" applyFont="1" applyBorder="1" applyAlignment="1">
      <alignment horizontal="right" vertical="center"/>
    </xf>
    <xf numFmtId="164" fontId="2" fillId="0" borderId="22" xfId="0" applyNumberFormat="1" applyFont="1" applyBorder="1" applyAlignment="1">
      <alignment horizontal="right" vertical="center"/>
    </xf>
    <xf numFmtId="0" fontId="1" fillId="0" borderId="12" xfId="0" applyFont="1" applyBorder="1"/>
    <xf numFmtId="0" fontId="1" fillId="0" borderId="13" xfId="0" applyFont="1" applyBorder="1"/>
    <xf numFmtId="0" fontId="1" fillId="0" borderId="14" xfId="0" applyFont="1" applyBorder="1"/>
    <xf numFmtId="0" fontId="1" fillId="0" borderId="15" xfId="0" applyFont="1" applyBorder="1"/>
    <xf numFmtId="0" fontId="1" fillId="0" borderId="16" xfId="0" applyFont="1" applyBorder="1" applyAlignment="1">
      <alignment horizontal="right"/>
    </xf>
    <xf numFmtId="0" fontId="1" fillId="0" borderId="17" xfId="0" applyFont="1" applyBorder="1" applyAlignment="1">
      <alignment horizontal="right"/>
    </xf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18" xfId="0" applyFont="1" applyBorder="1"/>
    <xf numFmtId="0" fontId="2" fillId="0" borderId="0" xfId="0" applyFont="1"/>
    <xf numFmtId="0" fontId="2" fillId="0" borderId="19" xfId="0" applyFont="1" applyBorder="1"/>
    <xf numFmtId="0" fontId="2" fillId="0" borderId="15" xfId="0" applyFont="1" applyBorder="1"/>
    <xf numFmtId="0" fontId="2" fillId="0" borderId="16" xfId="0" applyFont="1" applyBorder="1"/>
    <xf numFmtId="0" fontId="2" fillId="0" borderId="17" xfId="0" applyFont="1" applyBorder="1"/>
    <xf numFmtId="14" fontId="2" fillId="0" borderId="23" xfId="0" applyNumberFormat="1" applyFont="1" applyBorder="1" applyAlignment="1">
      <alignment horizontal="left" vertical="center"/>
    </xf>
    <xf numFmtId="0" fontId="1" fillId="0" borderId="24" xfId="0" applyFont="1" applyBorder="1" applyAlignment="1">
      <alignment horizontal="center"/>
    </xf>
    <xf numFmtId="0" fontId="4" fillId="4" borderId="25" xfId="0" applyFont="1" applyFill="1" applyBorder="1" applyAlignment="1">
      <alignment horizontal="center"/>
    </xf>
    <xf numFmtId="14" fontId="5" fillId="5" borderId="26" xfId="0" applyNumberFormat="1" applyFont="1" applyFill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3" fontId="2" fillId="0" borderId="27" xfId="0" applyNumberFormat="1" applyFont="1" applyBorder="1"/>
    <xf numFmtId="3" fontId="6" fillId="0" borderId="27" xfId="0" applyNumberFormat="1" applyFont="1" applyBorder="1" applyAlignment="1">
      <alignment horizontal="center"/>
    </xf>
    <xf numFmtId="3" fontId="2" fillId="0" borderId="27" xfId="0" applyNumberFormat="1" applyFont="1" applyBorder="1" applyAlignment="1">
      <alignment horizontal="center"/>
    </xf>
    <xf numFmtId="3" fontId="2" fillId="0" borderId="25" xfId="0" applyNumberFormat="1" applyFont="1" applyBorder="1"/>
    <xf numFmtId="3" fontId="6" fillId="0" borderId="25" xfId="0" applyNumberFormat="1" applyFont="1" applyBorder="1" applyAlignment="1">
      <alignment horizontal="center"/>
    </xf>
    <xf numFmtId="3" fontId="2" fillId="0" borderId="25" xfId="0" applyNumberFormat="1" applyFont="1" applyBorder="1" applyAlignment="1">
      <alignment horizontal="center"/>
    </xf>
    <xf numFmtId="3" fontId="2" fillId="0" borderId="26" xfId="0" applyNumberFormat="1" applyFont="1" applyBorder="1"/>
    <xf numFmtId="3" fontId="6" fillId="0" borderId="26" xfId="0" applyNumberFormat="1" applyFont="1" applyBorder="1" applyAlignment="1">
      <alignment horizontal="center"/>
    </xf>
    <xf numFmtId="3" fontId="2" fillId="0" borderId="26" xfId="0" applyNumberFormat="1" applyFont="1" applyBorder="1" applyAlignment="1">
      <alignment horizontal="center"/>
    </xf>
    <xf numFmtId="0" fontId="2" fillId="0" borderId="27" xfId="0" applyFont="1" applyBorder="1" applyAlignment="1">
      <alignment horizontal="center" vertical="center"/>
    </xf>
    <xf numFmtId="0" fontId="2" fillId="0" borderId="13" xfId="0" quotePrefix="1" applyFont="1" applyBorder="1" applyAlignment="1">
      <alignment horizontal="center" vertical="center"/>
    </xf>
    <xf numFmtId="0" fontId="2" fillId="6" borderId="26" xfId="0" applyFont="1" applyFill="1" applyBorder="1" applyAlignment="1">
      <alignment horizontal="center" vertical="center"/>
    </xf>
    <xf numFmtId="0" fontId="2" fillId="5" borderId="16" xfId="0" applyFont="1" applyFill="1" applyBorder="1" applyAlignment="1">
      <alignment horizontal="center" vertical="center"/>
    </xf>
    <xf numFmtId="0" fontId="6" fillId="7" borderId="26" xfId="0" applyFont="1" applyFill="1" applyBorder="1" applyAlignment="1">
      <alignment horizontal="center" vertical="center"/>
    </xf>
  </cellXfs>
  <cellStyles count="1">
    <cellStyle name="Normal" xfId="0" builtinId="0"/>
  </cellStyles>
  <dxfs count="13">
    <dxf>
      <font>
        <b/>
        <i val="0"/>
        <color theme="9" tint="-0.24994659260841701"/>
      </font>
      <fill>
        <patternFill>
          <bgColor theme="7" tint="0.39994506668294322"/>
        </patternFill>
      </fill>
    </dxf>
    <dxf>
      <font>
        <b/>
        <i val="0"/>
        <color rgb="FFFF0000"/>
      </font>
      <fill>
        <patternFill>
          <bgColor theme="5" tint="0.39994506668294322"/>
        </patternFill>
      </fill>
    </dxf>
    <dxf>
      <font>
        <b/>
        <i val="0"/>
        <color theme="9" tint="-0.24994659260841701"/>
      </font>
      <fill>
        <patternFill>
          <bgColor theme="7" tint="0.39994506668294322"/>
        </patternFill>
      </fill>
    </dxf>
    <dxf>
      <font>
        <b/>
        <i val="0"/>
        <color rgb="FFFF0000"/>
      </font>
      <fill>
        <patternFill>
          <bgColor theme="5" tint="0.39994506668294322"/>
        </patternFill>
      </fill>
    </dxf>
    <dxf>
      <font>
        <b/>
        <i val="0"/>
        <color theme="9" tint="-0.24994659260841701"/>
      </font>
      <fill>
        <patternFill>
          <bgColor theme="7" tint="0.39994506668294322"/>
        </patternFill>
      </fill>
    </dxf>
    <dxf>
      <font>
        <b/>
        <i val="0"/>
        <color rgb="FFFF0000"/>
      </font>
      <fill>
        <patternFill>
          <bgColor theme="5" tint="0.39994506668294322"/>
        </patternFill>
      </fill>
    </dxf>
    <dxf>
      <font>
        <b/>
        <i val="0"/>
        <color theme="9" tint="-0.24994659260841701"/>
      </font>
      <fill>
        <patternFill>
          <bgColor theme="7" tint="0.39994506668294322"/>
        </patternFill>
      </fill>
    </dxf>
    <dxf>
      <font>
        <b/>
        <i val="0"/>
        <color rgb="FFFF0000"/>
      </font>
      <fill>
        <patternFill>
          <bgColor theme="5" tint="0.39994506668294322"/>
        </patternFill>
      </fill>
    </dxf>
    <dxf>
      <font>
        <b/>
        <i val="0"/>
        <color theme="9" tint="-0.24994659260841701"/>
      </font>
      <fill>
        <patternFill>
          <bgColor theme="7" tint="0.39994506668294322"/>
        </patternFill>
      </fill>
    </dxf>
    <dxf>
      <font>
        <b/>
        <i val="0"/>
        <color rgb="FFFF0000"/>
      </font>
      <fill>
        <patternFill>
          <bgColor theme="5" tint="0.39994506668294322"/>
        </patternFill>
      </fill>
    </dxf>
    <dxf>
      <font>
        <b/>
        <i val="0"/>
        <color theme="9" tint="-0.24994659260841701"/>
      </font>
      <fill>
        <patternFill>
          <bgColor theme="7" tint="0.39994506668294322"/>
        </patternFill>
      </fill>
    </dxf>
    <dxf>
      <font>
        <b/>
        <i val="0"/>
        <color rgb="FFFF0000"/>
      </font>
      <fill>
        <patternFill>
          <bgColor theme="5" tint="0.39994506668294322"/>
        </patternFill>
      </fill>
    </dxf>
    <dxf>
      <font>
        <b/>
        <i val="0"/>
        <color rgb="FFFF0000"/>
      </font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hyperlink" Target="#RELAT&#211;RIOS!A1"/><Relationship Id="rId1" Type="http://schemas.openxmlformats.org/officeDocument/2006/relationships/hyperlink" Target="#LAN&#199;AMENTOS!A1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hyperlink" Target="#RELAT&#211;RIOS!A1"/><Relationship Id="rId1" Type="http://schemas.openxmlformats.org/officeDocument/2006/relationships/hyperlink" Target="#MENU!A1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hyperlink" Target="#LAN&#199;AMENTOS!A1"/><Relationship Id="rId1" Type="http://schemas.openxmlformats.org/officeDocument/2006/relationships/hyperlink" Target="#MENU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9413</xdr:colOff>
      <xdr:row>0</xdr:row>
      <xdr:rowOff>40791</xdr:rowOff>
    </xdr:from>
    <xdr:to>
      <xdr:col>5</xdr:col>
      <xdr:colOff>11205</xdr:colOff>
      <xdr:row>1</xdr:row>
      <xdr:rowOff>1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4140B616-A743-46A2-8212-9646DCD20CAA}"/>
            </a:ext>
          </a:extLst>
        </xdr:cNvPr>
        <xdr:cNvSpPr txBox="1"/>
      </xdr:nvSpPr>
      <xdr:spPr>
        <a:xfrm>
          <a:off x="269389" y="40791"/>
          <a:ext cx="3229087" cy="46123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500">
              <a:solidFill>
                <a:schemeClr val="bg1"/>
              </a:solidFill>
              <a:latin typeface="Arial Black" panose="020B0A04020102020204" pitchFamily="34" charset="0"/>
            </a:rPr>
            <a:t>GERENCIADOR DE ESTOQUE</a:t>
          </a:r>
        </a:p>
        <a:p>
          <a:endParaRPr lang="pt-BR" sz="1100"/>
        </a:p>
      </xdr:txBody>
    </xdr:sp>
    <xdr:clientData/>
  </xdr:twoCellAnchor>
  <xdr:twoCellAnchor>
    <xdr:from>
      <xdr:col>0</xdr:col>
      <xdr:colOff>251460</xdr:colOff>
      <xdr:row>1</xdr:row>
      <xdr:rowOff>15240</xdr:rowOff>
    </xdr:from>
    <xdr:to>
      <xdr:col>3</xdr:col>
      <xdr:colOff>53340</xdr:colOff>
      <xdr:row>2</xdr:row>
      <xdr:rowOff>0</xdr:rowOff>
    </xdr:to>
    <xdr:sp macro="" textlink="">
      <xdr:nvSpPr>
        <xdr:cNvPr id="3" name="Retângulo: Único Canto Recortado 2">
          <a:extLst>
            <a:ext uri="{FF2B5EF4-FFF2-40B4-BE49-F238E27FC236}">
              <a16:creationId xmlns:a16="http://schemas.microsoft.com/office/drawing/2014/main" id="{49BD29DC-E7A4-4DC4-A12D-9CD9AA5F574C}"/>
            </a:ext>
          </a:extLst>
        </xdr:cNvPr>
        <xdr:cNvSpPr/>
      </xdr:nvSpPr>
      <xdr:spPr>
        <a:xfrm>
          <a:off x="251460" y="517264"/>
          <a:ext cx="1675504" cy="370242"/>
        </a:xfrm>
        <a:prstGeom prst="snip1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000">
              <a:solidFill>
                <a:schemeClr val="tx1">
                  <a:lumMod val="50000"/>
                  <a:lumOff val="50000"/>
                </a:schemeClr>
              </a:solidFill>
              <a:latin typeface="Arial Black" panose="020B0A04020102020204" pitchFamily="34" charset="0"/>
            </a:rPr>
            <a:t>MENU</a:t>
          </a:r>
        </a:p>
        <a:p>
          <a:pPr algn="ctr"/>
          <a:endParaRPr lang="pt-BR" sz="1000">
            <a:solidFill>
              <a:schemeClr val="tx1">
                <a:lumMod val="50000"/>
                <a:lumOff val="50000"/>
              </a:schemeClr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122417</xdr:colOff>
      <xdr:row>1</xdr:row>
      <xdr:rowOff>22860</xdr:rowOff>
    </xdr:from>
    <xdr:to>
      <xdr:col>5</xdr:col>
      <xdr:colOff>182715</xdr:colOff>
      <xdr:row>2</xdr:row>
      <xdr:rowOff>0</xdr:rowOff>
    </xdr:to>
    <xdr:sp macro="" textlink="">
      <xdr:nvSpPr>
        <xdr:cNvPr id="4" name="Retângulo: Único Canto Recortado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7690BA2-00FB-4B56-A3B7-F180BF279118}"/>
            </a:ext>
          </a:extLst>
        </xdr:cNvPr>
        <xdr:cNvSpPr/>
      </xdr:nvSpPr>
      <xdr:spPr>
        <a:xfrm>
          <a:off x="1996937" y="525780"/>
          <a:ext cx="1675738" cy="358140"/>
        </a:xfrm>
        <a:prstGeom prst="snip1Rect">
          <a:avLst/>
        </a:prstGeom>
        <a:solidFill>
          <a:schemeClr val="accent6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000">
              <a:solidFill>
                <a:schemeClr val="tx1">
                  <a:lumMod val="50000"/>
                  <a:lumOff val="50000"/>
                </a:schemeClr>
              </a:solidFill>
              <a:latin typeface="Arial Black" panose="020B0A04020102020204" pitchFamily="34" charset="0"/>
            </a:rPr>
            <a:t>LANÇAMENTOS</a:t>
          </a:r>
        </a:p>
        <a:p>
          <a:pPr algn="l"/>
          <a:r>
            <a:rPr lang="pt-BR" sz="1000">
              <a:solidFill>
                <a:schemeClr val="tx1">
                  <a:lumMod val="50000"/>
                  <a:lumOff val="50000"/>
                </a:schemeClr>
              </a:solidFill>
              <a:latin typeface="Arial Black" panose="020B0A04020102020204" pitchFamily="34" charset="0"/>
            </a:rPr>
            <a:t>	</a:t>
          </a:r>
        </a:p>
        <a:p>
          <a:pPr algn="ctr"/>
          <a:endParaRPr lang="pt-BR" sz="1000">
            <a:solidFill>
              <a:schemeClr val="tx1">
                <a:lumMod val="50000"/>
                <a:lumOff val="50000"/>
              </a:schemeClr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5</xdr:col>
      <xdr:colOff>251792</xdr:colOff>
      <xdr:row>1</xdr:row>
      <xdr:rowOff>15240</xdr:rowOff>
    </xdr:from>
    <xdr:to>
      <xdr:col>7</xdr:col>
      <xdr:colOff>312090</xdr:colOff>
      <xdr:row>2</xdr:row>
      <xdr:rowOff>0</xdr:rowOff>
    </xdr:to>
    <xdr:sp macro="" textlink="">
      <xdr:nvSpPr>
        <xdr:cNvPr id="5" name="Retângulo: Único Canto Recortado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B2C42B6-D5EE-43ED-AEA5-F4EB49CA8C15}"/>
            </a:ext>
          </a:extLst>
        </xdr:cNvPr>
        <xdr:cNvSpPr/>
      </xdr:nvSpPr>
      <xdr:spPr>
        <a:xfrm>
          <a:off x="3741752" y="518160"/>
          <a:ext cx="1675738" cy="365760"/>
        </a:xfrm>
        <a:prstGeom prst="snip1Rect">
          <a:avLst/>
        </a:prstGeom>
        <a:solidFill>
          <a:schemeClr val="accent6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000">
              <a:solidFill>
                <a:schemeClr val="tx1">
                  <a:lumMod val="50000"/>
                  <a:lumOff val="50000"/>
                </a:schemeClr>
              </a:solidFill>
              <a:latin typeface="Arial Black" panose="020B0A04020102020204" pitchFamily="34" charset="0"/>
            </a:rPr>
            <a:t>RELATÓRIOS</a:t>
          </a:r>
        </a:p>
        <a:p>
          <a:pPr algn="l"/>
          <a:endParaRPr lang="pt-BR" sz="1000">
            <a:solidFill>
              <a:schemeClr val="tx1">
                <a:lumMod val="50000"/>
                <a:lumOff val="50000"/>
              </a:schemeClr>
            </a:solidFill>
            <a:latin typeface="Arial Black" panose="020B0A04020102020204" pitchFamily="34" charset="0"/>
          </a:endParaRPr>
        </a:p>
        <a:p>
          <a:pPr algn="l"/>
          <a:endParaRPr lang="pt-BR" sz="1000">
            <a:solidFill>
              <a:schemeClr val="tx1">
                <a:lumMod val="50000"/>
                <a:lumOff val="50000"/>
              </a:schemeClr>
            </a:solidFill>
            <a:latin typeface="Arial Black" panose="020B0A04020102020204" pitchFamily="34" charset="0"/>
          </a:endParaRPr>
        </a:p>
        <a:p>
          <a:pPr algn="ctr"/>
          <a:endParaRPr lang="pt-BR" sz="1000">
            <a:solidFill>
              <a:schemeClr val="tx1">
                <a:lumMod val="50000"/>
                <a:lumOff val="50000"/>
              </a:schemeClr>
            </a:solidFill>
            <a:latin typeface="Arial Black" panose="020B0A04020102020204" pitchFamily="34" charset="0"/>
          </a:endParaRPr>
        </a:p>
      </xdr:txBody>
    </xdr:sp>
    <xdr:clientData/>
  </xdr:twoCellAnchor>
  <xdr:twoCellAnchor editAs="oneCell">
    <xdr:from>
      <xdr:col>6</xdr:col>
      <xdr:colOff>143435</xdr:colOff>
      <xdr:row>3</xdr:row>
      <xdr:rowOff>161364</xdr:rowOff>
    </xdr:from>
    <xdr:to>
      <xdr:col>10</xdr:col>
      <xdr:colOff>409452</xdr:colOff>
      <xdr:row>20</xdr:row>
      <xdr:rowOff>33601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7ED5130A-9310-4167-AB46-613CE99D13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441115" y="1228164"/>
          <a:ext cx="3496897" cy="297357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251459</xdr:colOff>
      <xdr:row>0</xdr:row>
      <xdr:rowOff>58719</xdr:rowOff>
    </xdr:from>
    <xdr:to>
      <xdr:col>4</xdr:col>
      <xdr:colOff>800099</xdr:colOff>
      <xdr:row>0</xdr:row>
      <xdr:rowOff>493060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C9830523-F6E6-09E6-B54F-076AD4BB8268}"/>
            </a:ext>
          </a:extLst>
        </xdr:cNvPr>
        <xdr:cNvSpPr txBox="1"/>
      </xdr:nvSpPr>
      <xdr:spPr>
        <a:xfrm>
          <a:off x="251459" y="58719"/>
          <a:ext cx="3229087" cy="43434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500">
              <a:solidFill>
                <a:schemeClr val="bg1"/>
              </a:solidFill>
              <a:latin typeface="Arial Black" panose="020B0A04020102020204" pitchFamily="34" charset="0"/>
            </a:rPr>
            <a:t>GERENCIADOR DE ESTOQUE</a:t>
          </a:r>
        </a:p>
        <a:p>
          <a:endParaRPr lang="pt-BR" sz="1100"/>
        </a:p>
      </xdr:txBody>
    </xdr:sp>
    <xdr:clientData/>
  </xdr:twoCellAnchor>
  <xdr:twoCellAnchor>
    <xdr:from>
      <xdr:col>0</xdr:col>
      <xdr:colOff>251460</xdr:colOff>
      <xdr:row>1</xdr:row>
      <xdr:rowOff>15240</xdr:rowOff>
    </xdr:from>
    <xdr:to>
      <xdr:col>3</xdr:col>
      <xdr:colOff>53340</xdr:colOff>
      <xdr:row>2</xdr:row>
      <xdr:rowOff>0</xdr:rowOff>
    </xdr:to>
    <xdr:sp macro="" textlink="">
      <xdr:nvSpPr>
        <xdr:cNvPr id="3" name="Retângulo: Único Canto Recortado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3732023-6F0F-FF08-AC8A-FE2FF15BB2CC}"/>
            </a:ext>
          </a:extLst>
        </xdr:cNvPr>
        <xdr:cNvSpPr/>
      </xdr:nvSpPr>
      <xdr:spPr>
        <a:xfrm>
          <a:off x="251460" y="517264"/>
          <a:ext cx="1675504" cy="370242"/>
        </a:xfrm>
        <a:prstGeom prst="snip1Rect">
          <a:avLst/>
        </a:prstGeom>
        <a:solidFill>
          <a:schemeClr val="accent6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000">
              <a:solidFill>
                <a:schemeClr val="tx1">
                  <a:lumMod val="50000"/>
                  <a:lumOff val="50000"/>
                </a:schemeClr>
              </a:solidFill>
              <a:latin typeface="Arial Black" panose="020B0A04020102020204" pitchFamily="34" charset="0"/>
            </a:rPr>
            <a:t>MENU</a:t>
          </a:r>
        </a:p>
        <a:p>
          <a:pPr algn="ctr"/>
          <a:endParaRPr lang="pt-BR" sz="1000">
            <a:solidFill>
              <a:schemeClr val="tx1">
                <a:lumMod val="50000"/>
                <a:lumOff val="50000"/>
              </a:schemeClr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122417</xdr:colOff>
      <xdr:row>1</xdr:row>
      <xdr:rowOff>22860</xdr:rowOff>
    </xdr:from>
    <xdr:to>
      <xdr:col>5</xdr:col>
      <xdr:colOff>182715</xdr:colOff>
      <xdr:row>2</xdr:row>
      <xdr:rowOff>0</xdr:rowOff>
    </xdr:to>
    <xdr:sp macro="" textlink="">
      <xdr:nvSpPr>
        <xdr:cNvPr id="4" name="Retângulo: Único Canto Recortado 3">
          <a:extLst>
            <a:ext uri="{FF2B5EF4-FFF2-40B4-BE49-F238E27FC236}">
              <a16:creationId xmlns:a16="http://schemas.microsoft.com/office/drawing/2014/main" id="{E527A3F1-9A4F-4EA1-B7C0-F1FCDF37AB0F}"/>
            </a:ext>
          </a:extLst>
        </xdr:cNvPr>
        <xdr:cNvSpPr/>
      </xdr:nvSpPr>
      <xdr:spPr>
        <a:xfrm>
          <a:off x="1996937" y="525780"/>
          <a:ext cx="1675738" cy="358140"/>
        </a:xfrm>
        <a:prstGeom prst="snip1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000">
              <a:solidFill>
                <a:schemeClr val="tx1">
                  <a:lumMod val="50000"/>
                  <a:lumOff val="50000"/>
                </a:schemeClr>
              </a:solidFill>
              <a:latin typeface="Arial Black" panose="020B0A04020102020204" pitchFamily="34" charset="0"/>
            </a:rPr>
            <a:t>LANÇAMENTOS</a:t>
          </a:r>
        </a:p>
        <a:p>
          <a:pPr algn="l"/>
          <a:r>
            <a:rPr lang="pt-BR" sz="1000">
              <a:solidFill>
                <a:schemeClr val="tx1">
                  <a:lumMod val="50000"/>
                  <a:lumOff val="50000"/>
                </a:schemeClr>
              </a:solidFill>
              <a:latin typeface="Arial Black" panose="020B0A04020102020204" pitchFamily="34" charset="0"/>
            </a:rPr>
            <a:t>	</a:t>
          </a:r>
        </a:p>
        <a:p>
          <a:pPr algn="ctr"/>
          <a:endParaRPr lang="pt-BR" sz="1000">
            <a:solidFill>
              <a:schemeClr val="tx1">
                <a:lumMod val="50000"/>
                <a:lumOff val="50000"/>
              </a:schemeClr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5</xdr:col>
      <xdr:colOff>251792</xdr:colOff>
      <xdr:row>1</xdr:row>
      <xdr:rowOff>15240</xdr:rowOff>
    </xdr:from>
    <xdr:to>
      <xdr:col>7</xdr:col>
      <xdr:colOff>312090</xdr:colOff>
      <xdr:row>2</xdr:row>
      <xdr:rowOff>0</xdr:rowOff>
    </xdr:to>
    <xdr:sp macro="" textlink="">
      <xdr:nvSpPr>
        <xdr:cNvPr id="5" name="Retângulo: Único Canto Recortado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5F22857-28F7-4221-BD08-71494E955577}"/>
            </a:ext>
          </a:extLst>
        </xdr:cNvPr>
        <xdr:cNvSpPr/>
      </xdr:nvSpPr>
      <xdr:spPr>
        <a:xfrm>
          <a:off x="3741752" y="518160"/>
          <a:ext cx="1675738" cy="365760"/>
        </a:xfrm>
        <a:prstGeom prst="snip1Rect">
          <a:avLst/>
        </a:prstGeom>
        <a:solidFill>
          <a:schemeClr val="accent6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000">
              <a:solidFill>
                <a:schemeClr val="tx1">
                  <a:lumMod val="50000"/>
                  <a:lumOff val="50000"/>
                </a:schemeClr>
              </a:solidFill>
              <a:latin typeface="Arial Black" panose="020B0A04020102020204" pitchFamily="34" charset="0"/>
            </a:rPr>
            <a:t>RELATÓRIOS</a:t>
          </a:r>
        </a:p>
        <a:p>
          <a:pPr algn="l"/>
          <a:endParaRPr lang="pt-BR" sz="1000">
            <a:solidFill>
              <a:schemeClr val="tx1">
                <a:lumMod val="50000"/>
                <a:lumOff val="50000"/>
              </a:schemeClr>
            </a:solidFill>
            <a:latin typeface="Arial Black" panose="020B0A04020102020204" pitchFamily="34" charset="0"/>
          </a:endParaRPr>
        </a:p>
        <a:p>
          <a:pPr algn="l"/>
          <a:endParaRPr lang="pt-BR" sz="1000">
            <a:solidFill>
              <a:schemeClr val="tx1">
                <a:lumMod val="50000"/>
                <a:lumOff val="50000"/>
              </a:schemeClr>
            </a:solidFill>
            <a:latin typeface="Arial Black" panose="020B0A04020102020204" pitchFamily="34" charset="0"/>
          </a:endParaRPr>
        </a:p>
        <a:p>
          <a:pPr algn="ctr"/>
          <a:endParaRPr lang="pt-BR" sz="1000">
            <a:solidFill>
              <a:schemeClr val="tx1">
                <a:lumMod val="50000"/>
                <a:lumOff val="50000"/>
              </a:schemeClr>
            </a:solidFill>
            <a:latin typeface="Arial Black" panose="020B0A04020102020204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27343</xdr:colOff>
      <xdr:row>0</xdr:row>
      <xdr:rowOff>67682</xdr:rowOff>
    </xdr:from>
    <xdr:to>
      <xdr:col>5</xdr:col>
      <xdr:colOff>29135</xdr:colOff>
      <xdr:row>0</xdr:row>
      <xdr:rowOff>448234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02F41642-A22C-4D0D-AE49-CC1B1DBC176F}"/>
            </a:ext>
          </a:extLst>
        </xdr:cNvPr>
        <xdr:cNvSpPr txBox="1"/>
      </xdr:nvSpPr>
      <xdr:spPr>
        <a:xfrm>
          <a:off x="287319" y="67682"/>
          <a:ext cx="3229087" cy="38055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500">
              <a:solidFill>
                <a:schemeClr val="bg1"/>
              </a:solidFill>
              <a:latin typeface="Arial Black" panose="020B0A04020102020204" pitchFamily="34" charset="0"/>
            </a:rPr>
            <a:t>GERENCIADOR DE ESTOQUE</a:t>
          </a:r>
        </a:p>
        <a:p>
          <a:endParaRPr lang="pt-BR" sz="1100"/>
        </a:p>
      </xdr:txBody>
    </xdr:sp>
    <xdr:clientData/>
  </xdr:twoCellAnchor>
  <xdr:twoCellAnchor>
    <xdr:from>
      <xdr:col>0</xdr:col>
      <xdr:colOff>251460</xdr:colOff>
      <xdr:row>1</xdr:row>
      <xdr:rowOff>15240</xdr:rowOff>
    </xdr:from>
    <xdr:to>
      <xdr:col>3</xdr:col>
      <xdr:colOff>53340</xdr:colOff>
      <xdr:row>2</xdr:row>
      <xdr:rowOff>0</xdr:rowOff>
    </xdr:to>
    <xdr:sp macro="" textlink="">
      <xdr:nvSpPr>
        <xdr:cNvPr id="3" name="Retângulo: Único Canto Recortado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B289FCE-F576-40AD-818E-82CCEFF1030A}"/>
            </a:ext>
          </a:extLst>
        </xdr:cNvPr>
        <xdr:cNvSpPr/>
      </xdr:nvSpPr>
      <xdr:spPr>
        <a:xfrm>
          <a:off x="251460" y="517264"/>
          <a:ext cx="1675504" cy="370242"/>
        </a:xfrm>
        <a:prstGeom prst="snip1Rect">
          <a:avLst/>
        </a:prstGeom>
        <a:solidFill>
          <a:schemeClr val="accent6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000" b="1">
              <a:solidFill>
                <a:schemeClr val="tx1">
                  <a:lumMod val="50000"/>
                  <a:lumOff val="50000"/>
                </a:schemeClr>
              </a:solidFill>
              <a:latin typeface="Arial Black" panose="020B0A04020102020204" pitchFamily="34" charset="0"/>
            </a:rPr>
            <a:t>MENU</a:t>
          </a:r>
        </a:p>
        <a:p>
          <a:pPr algn="ctr"/>
          <a:endParaRPr lang="pt-BR" sz="1000" b="1">
            <a:solidFill>
              <a:schemeClr val="tx1">
                <a:lumMod val="50000"/>
                <a:lumOff val="50000"/>
              </a:schemeClr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122417</xdr:colOff>
      <xdr:row>1</xdr:row>
      <xdr:rowOff>22860</xdr:rowOff>
    </xdr:from>
    <xdr:to>
      <xdr:col>5</xdr:col>
      <xdr:colOff>182715</xdr:colOff>
      <xdr:row>2</xdr:row>
      <xdr:rowOff>0</xdr:rowOff>
    </xdr:to>
    <xdr:sp macro="" textlink="">
      <xdr:nvSpPr>
        <xdr:cNvPr id="4" name="Retângulo: Único Canto Recortado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4FC37F4-B61B-45F5-8847-7F823A272451}"/>
            </a:ext>
          </a:extLst>
        </xdr:cNvPr>
        <xdr:cNvSpPr/>
      </xdr:nvSpPr>
      <xdr:spPr>
        <a:xfrm>
          <a:off x="1996937" y="525780"/>
          <a:ext cx="1675738" cy="358140"/>
        </a:xfrm>
        <a:prstGeom prst="snip1Rect">
          <a:avLst/>
        </a:prstGeom>
        <a:solidFill>
          <a:schemeClr val="accent6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000" b="1">
              <a:solidFill>
                <a:schemeClr val="tx1">
                  <a:lumMod val="50000"/>
                  <a:lumOff val="50000"/>
                </a:schemeClr>
              </a:solidFill>
              <a:latin typeface="Arial Black" panose="020B0A04020102020204" pitchFamily="34" charset="0"/>
            </a:rPr>
            <a:t>LANÇAMENTOS</a:t>
          </a:r>
        </a:p>
        <a:p>
          <a:pPr algn="l"/>
          <a:r>
            <a:rPr lang="pt-BR" sz="1000" b="1">
              <a:solidFill>
                <a:schemeClr val="tx1">
                  <a:lumMod val="50000"/>
                  <a:lumOff val="50000"/>
                </a:schemeClr>
              </a:solidFill>
              <a:latin typeface="Arial Black" panose="020B0A04020102020204" pitchFamily="34" charset="0"/>
            </a:rPr>
            <a:t>	</a:t>
          </a:r>
        </a:p>
        <a:p>
          <a:pPr algn="ctr"/>
          <a:endParaRPr lang="pt-BR" sz="1000" b="1">
            <a:solidFill>
              <a:schemeClr val="tx1">
                <a:lumMod val="50000"/>
                <a:lumOff val="50000"/>
              </a:schemeClr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5</xdr:col>
      <xdr:colOff>251792</xdr:colOff>
      <xdr:row>1</xdr:row>
      <xdr:rowOff>15240</xdr:rowOff>
    </xdr:from>
    <xdr:to>
      <xdr:col>7</xdr:col>
      <xdr:colOff>312090</xdr:colOff>
      <xdr:row>2</xdr:row>
      <xdr:rowOff>0</xdr:rowOff>
    </xdr:to>
    <xdr:sp macro="" textlink="">
      <xdr:nvSpPr>
        <xdr:cNvPr id="5" name="Retângulo: Único Canto Recortado 4">
          <a:extLst>
            <a:ext uri="{FF2B5EF4-FFF2-40B4-BE49-F238E27FC236}">
              <a16:creationId xmlns:a16="http://schemas.microsoft.com/office/drawing/2014/main" id="{433A04FA-3FA2-4058-BCFA-0D42D622E798}"/>
            </a:ext>
          </a:extLst>
        </xdr:cNvPr>
        <xdr:cNvSpPr/>
      </xdr:nvSpPr>
      <xdr:spPr>
        <a:xfrm>
          <a:off x="3741752" y="518160"/>
          <a:ext cx="1675738" cy="365760"/>
        </a:xfrm>
        <a:prstGeom prst="snip1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000" b="1">
              <a:solidFill>
                <a:schemeClr val="tx1">
                  <a:lumMod val="50000"/>
                  <a:lumOff val="50000"/>
                </a:schemeClr>
              </a:solidFill>
              <a:latin typeface="Arial Black" panose="020B0A04020102020204" pitchFamily="34" charset="0"/>
            </a:rPr>
            <a:t>RELATÓRIOS</a:t>
          </a:r>
        </a:p>
        <a:p>
          <a:pPr algn="l"/>
          <a:endParaRPr lang="pt-BR" sz="1000" b="1">
            <a:solidFill>
              <a:schemeClr val="tx1">
                <a:lumMod val="50000"/>
                <a:lumOff val="50000"/>
              </a:schemeClr>
            </a:solidFill>
            <a:latin typeface="Arial Black" panose="020B0A04020102020204" pitchFamily="34" charset="0"/>
          </a:endParaRPr>
        </a:p>
        <a:p>
          <a:pPr algn="l"/>
          <a:endParaRPr lang="pt-BR" sz="1000" b="1">
            <a:solidFill>
              <a:schemeClr val="tx1">
                <a:lumMod val="50000"/>
                <a:lumOff val="50000"/>
              </a:schemeClr>
            </a:solidFill>
            <a:latin typeface="Arial Black" panose="020B0A04020102020204" pitchFamily="34" charset="0"/>
          </a:endParaRPr>
        </a:p>
        <a:p>
          <a:pPr algn="ctr"/>
          <a:endParaRPr lang="pt-BR" sz="1000" b="1">
            <a:solidFill>
              <a:schemeClr val="tx1">
                <a:lumMod val="50000"/>
                <a:lumOff val="50000"/>
              </a:schemeClr>
            </a:solidFill>
            <a:latin typeface="Arial Black" panose="020B0A04020102020204" pitchFamily="34" charset="0"/>
          </a:endParaRP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41E0A-A1BD-41BA-ACFA-274A4244AD03}">
  <dimension ref="A1:Q23"/>
  <sheetViews>
    <sheetView showGridLines="0" zoomScale="85" zoomScaleNormal="85" workbookViewId="0">
      <selection activeCell="F21" sqref="F21"/>
    </sheetView>
  </sheetViews>
  <sheetFormatPr defaultColWidth="0" defaultRowHeight="14.4" x14ac:dyDescent="0.3"/>
  <cols>
    <col min="1" max="1" width="3.77734375" customWidth="1"/>
    <col min="2" max="16" width="11.77734375" customWidth="1"/>
    <col min="17" max="17" width="3.77734375" customWidth="1"/>
    <col min="18" max="16384" width="11.77734375" hidden="1"/>
  </cols>
  <sheetData>
    <row r="1" spans="2:16" ht="40.049999999999997" customHeight="1" x14ac:dyDescent="0.3"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</row>
    <row r="2" spans="2:16" ht="30" customHeight="1" x14ac:dyDescent="0.3">
      <c r="B2" s="4"/>
      <c r="C2" s="5"/>
      <c r="D2" s="5"/>
      <c r="E2" s="6"/>
      <c r="F2" s="5"/>
      <c r="G2" s="5"/>
      <c r="H2" s="5"/>
      <c r="I2" s="5"/>
      <c r="J2" s="5"/>
      <c r="K2" s="5"/>
      <c r="L2" s="5"/>
      <c r="M2" s="5"/>
      <c r="N2" s="5"/>
      <c r="O2" s="5"/>
      <c r="P2" s="7"/>
    </row>
    <row r="3" spans="2:16" x14ac:dyDescent="0.3">
      <c r="B3" s="8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10"/>
    </row>
    <row r="4" spans="2:16" x14ac:dyDescent="0.3">
      <c r="B4" s="11"/>
      <c r="P4" s="12"/>
    </row>
    <row r="5" spans="2:16" x14ac:dyDescent="0.3">
      <c r="B5" s="11"/>
      <c r="P5" s="12"/>
    </row>
    <row r="6" spans="2:16" ht="13.8" customHeight="1" x14ac:dyDescent="0.3">
      <c r="B6" s="11"/>
      <c r="P6" s="12"/>
    </row>
    <row r="7" spans="2:16" x14ac:dyDescent="0.3">
      <c r="B7" s="11"/>
      <c r="P7" s="12"/>
    </row>
    <row r="8" spans="2:16" x14ac:dyDescent="0.3">
      <c r="B8" s="11"/>
      <c r="P8" s="12"/>
    </row>
    <row r="9" spans="2:16" x14ac:dyDescent="0.3">
      <c r="B9" s="11"/>
      <c r="P9" s="12"/>
    </row>
    <row r="10" spans="2:16" x14ac:dyDescent="0.3">
      <c r="B10" s="11"/>
      <c r="P10" s="12"/>
    </row>
    <row r="11" spans="2:16" x14ac:dyDescent="0.3">
      <c r="B11" s="11"/>
      <c r="P11" s="12"/>
    </row>
    <row r="12" spans="2:16" x14ac:dyDescent="0.3">
      <c r="B12" s="11"/>
      <c r="P12" s="12"/>
    </row>
    <row r="13" spans="2:16" x14ac:dyDescent="0.3">
      <c r="B13" s="11"/>
      <c r="P13" s="12"/>
    </row>
    <row r="14" spans="2:16" x14ac:dyDescent="0.3">
      <c r="B14" s="11"/>
      <c r="P14" s="12"/>
    </row>
    <row r="15" spans="2:16" x14ac:dyDescent="0.3">
      <c r="B15" s="11"/>
      <c r="P15" s="12"/>
    </row>
    <row r="16" spans="2:16" x14ac:dyDescent="0.3">
      <c r="B16" s="11"/>
      <c r="P16" s="12"/>
    </row>
    <row r="17" spans="2:16" x14ac:dyDescent="0.3">
      <c r="B17" s="11"/>
      <c r="P17" s="12"/>
    </row>
    <row r="18" spans="2:16" x14ac:dyDescent="0.3">
      <c r="B18" s="11"/>
      <c r="P18" s="12"/>
    </row>
    <row r="19" spans="2:16" x14ac:dyDescent="0.3">
      <c r="B19" s="11"/>
      <c r="P19" s="12"/>
    </row>
    <row r="20" spans="2:16" x14ac:dyDescent="0.3">
      <c r="B20" s="11"/>
      <c r="P20" s="12"/>
    </row>
    <row r="21" spans="2:16" x14ac:dyDescent="0.3">
      <c r="B21" s="11"/>
      <c r="P21" s="12"/>
    </row>
    <row r="22" spans="2:16" x14ac:dyDescent="0.3">
      <c r="B22" s="11"/>
      <c r="P22" s="12"/>
    </row>
    <row r="23" spans="2:16" x14ac:dyDescent="0.3">
      <c r="B23" s="13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5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6"/>
  <sheetViews>
    <sheetView showGridLines="0" zoomScale="85" zoomScaleNormal="85" workbookViewId="0">
      <selection activeCell="M12" sqref="M12"/>
    </sheetView>
  </sheetViews>
  <sheetFormatPr defaultColWidth="0" defaultRowHeight="14.4" x14ac:dyDescent="0.3"/>
  <cols>
    <col min="1" max="1" width="3.77734375" customWidth="1"/>
    <col min="2" max="16" width="11.77734375" customWidth="1"/>
    <col min="17" max="17" width="3.77734375" customWidth="1"/>
    <col min="18" max="16384" width="11.77734375" hidden="1"/>
  </cols>
  <sheetData>
    <row r="1" spans="2:16" ht="40.049999999999997" customHeight="1" x14ac:dyDescent="0.3"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</row>
    <row r="2" spans="2:16" ht="30" customHeight="1" x14ac:dyDescent="0.3">
      <c r="B2" s="4"/>
      <c r="C2" s="5"/>
      <c r="D2" s="5"/>
      <c r="E2" s="6"/>
      <c r="F2" s="5"/>
      <c r="G2" s="5"/>
      <c r="H2" s="5"/>
      <c r="I2" s="5"/>
      <c r="J2" s="5"/>
      <c r="K2" s="5"/>
      <c r="L2" s="5"/>
      <c r="M2" s="5"/>
      <c r="N2" s="5"/>
      <c r="O2" s="5"/>
      <c r="P2" s="7"/>
    </row>
    <row r="3" spans="2:16" x14ac:dyDescent="0.3">
      <c r="B3" s="8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10"/>
    </row>
    <row r="4" spans="2:16" x14ac:dyDescent="0.3">
      <c r="B4" s="11"/>
      <c r="C4" s="16" t="s">
        <v>0</v>
      </c>
      <c r="D4" s="17"/>
      <c r="E4" s="17"/>
      <c r="F4" s="18" t="s">
        <v>1</v>
      </c>
      <c r="G4" s="19"/>
      <c r="H4" s="16" t="s">
        <v>2</v>
      </c>
      <c r="I4" s="17"/>
      <c r="J4" s="17"/>
      <c r="K4" s="20">
        <v>43379</v>
      </c>
      <c r="P4" s="12"/>
    </row>
    <row r="5" spans="2:16" x14ac:dyDescent="0.3">
      <c r="B5" s="11"/>
      <c r="C5" s="21" t="s">
        <v>3</v>
      </c>
      <c r="D5" s="22" t="s">
        <v>4</v>
      </c>
      <c r="E5" s="22" t="s">
        <v>5</v>
      </c>
      <c r="F5" s="23" t="s">
        <v>6</v>
      </c>
      <c r="G5" s="19"/>
      <c r="H5" s="24" t="s">
        <v>7</v>
      </c>
      <c r="I5" s="22" t="s">
        <v>4</v>
      </c>
      <c r="J5" s="22" t="s">
        <v>5</v>
      </c>
      <c r="K5" s="23" t="s">
        <v>6</v>
      </c>
      <c r="P5" s="12"/>
    </row>
    <row r="6" spans="2:16" ht="13.8" customHeight="1" x14ac:dyDescent="0.3">
      <c r="B6" s="11"/>
      <c r="C6" s="25">
        <v>43374</v>
      </c>
      <c r="D6" s="26"/>
      <c r="E6" s="26"/>
      <c r="F6" s="27">
        <v>950</v>
      </c>
      <c r="G6" s="19"/>
      <c r="H6" s="28">
        <v>1</v>
      </c>
      <c r="I6" s="26">
        <v>249</v>
      </c>
      <c r="J6" s="26"/>
      <c r="K6" s="27">
        <v>249</v>
      </c>
      <c r="P6" s="12"/>
    </row>
    <row r="7" spans="2:16" x14ac:dyDescent="0.3">
      <c r="B7" s="11"/>
      <c r="C7" s="29">
        <v>43375</v>
      </c>
      <c r="D7" s="30"/>
      <c r="E7" s="30">
        <v>200</v>
      </c>
      <c r="F7" s="31">
        <f>F6+D7-E7</f>
        <v>750</v>
      </c>
      <c r="G7" s="19"/>
      <c r="H7" s="32">
        <v>2</v>
      </c>
      <c r="I7" s="30">
        <v>600</v>
      </c>
      <c r="J7" s="30"/>
      <c r="K7" s="31">
        <f>K6+I7-J7</f>
        <v>849</v>
      </c>
      <c r="P7" s="12"/>
    </row>
    <row r="8" spans="2:16" x14ac:dyDescent="0.3">
      <c r="B8" s="11"/>
      <c r="C8" s="29">
        <v>43376</v>
      </c>
      <c r="D8" s="30"/>
      <c r="E8" s="30">
        <v>250</v>
      </c>
      <c r="F8" s="31">
        <f t="shared" ref="F8:F20" si="0">F7+D8-E8</f>
        <v>500</v>
      </c>
      <c r="G8" s="19"/>
      <c r="H8" s="32">
        <v>3</v>
      </c>
      <c r="I8" s="30"/>
      <c r="J8" s="30">
        <v>25</v>
      </c>
      <c r="K8" s="31">
        <f t="shared" ref="K8:K19" si="1">K7+I8-J8</f>
        <v>824</v>
      </c>
      <c r="P8" s="12"/>
    </row>
    <row r="9" spans="2:16" x14ac:dyDescent="0.3">
      <c r="B9" s="11"/>
      <c r="C9" s="29">
        <v>43377</v>
      </c>
      <c r="D9" s="30"/>
      <c r="E9" s="30">
        <v>95</v>
      </c>
      <c r="F9" s="31">
        <f t="shared" si="0"/>
        <v>405</v>
      </c>
      <c r="G9" s="19"/>
      <c r="H9" s="32">
        <v>4</v>
      </c>
      <c r="I9" s="30"/>
      <c r="J9" s="30">
        <v>39</v>
      </c>
      <c r="K9" s="31">
        <f t="shared" si="1"/>
        <v>785</v>
      </c>
      <c r="P9" s="12"/>
    </row>
    <row r="10" spans="2:16" x14ac:dyDescent="0.3">
      <c r="B10" s="11"/>
      <c r="C10" s="29">
        <v>43378</v>
      </c>
      <c r="D10" s="30"/>
      <c r="E10" s="30">
        <v>156</v>
      </c>
      <c r="F10" s="31">
        <f t="shared" si="0"/>
        <v>249</v>
      </c>
      <c r="G10" s="19"/>
      <c r="H10" s="32">
        <v>5</v>
      </c>
      <c r="I10" s="30"/>
      <c r="J10" s="30">
        <v>10</v>
      </c>
      <c r="K10" s="31">
        <f t="shared" si="1"/>
        <v>775</v>
      </c>
      <c r="P10" s="12"/>
    </row>
    <row r="11" spans="2:16" x14ac:dyDescent="0.3">
      <c r="B11" s="11"/>
      <c r="C11" s="29">
        <v>43379</v>
      </c>
      <c r="D11" s="30">
        <v>600</v>
      </c>
      <c r="E11" s="30">
        <v>289</v>
      </c>
      <c r="F11" s="31">
        <f t="shared" si="0"/>
        <v>560</v>
      </c>
      <c r="G11" s="19"/>
      <c r="H11" s="32">
        <v>6</v>
      </c>
      <c r="I11" s="30"/>
      <c r="J11" s="30">
        <v>75</v>
      </c>
      <c r="K11" s="31">
        <f t="shared" si="1"/>
        <v>700</v>
      </c>
      <c r="P11" s="12"/>
    </row>
    <row r="12" spans="2:16" x14ac:dyDescent="0.3">
      <c r="B12" s="11"/>
      <c r="C12" s="29">
        <v>43380</v>
      </c>
      <c r="D12" s="30"/>
      <c r="E12" s="30">
        <v>245</v>
      </c>
      <c r="F12" s="31">
        <f t="shared" si="0"/>
        <v>315</v>
      </c>
      <c r="G12" s="19"/>
      <c r="H12" s="32">
        <v>7</v>
      </c>
      <c r="I12" s="30"/>
      <c r="J12" s="30">
        <v>95</v>
      </c>
      <c r="K12" s="31">
        <f t="shared" si="1"/>
        <v>605</v>
      </c>
      <c r="P12" s="12"/>
    </row>
    <row r="13" spans="2:16" x14ac:dyDescent="0.3">
      <c r="B13" s="11"/>
      <c r="C13" s="29">
        <v>43381</v>
      </c>
      <c r="D13" s="30"/>
      <c r="E13" s="30">
        <v>123</v>
      </c>
      <c r="F13" s="31">
        <f t="shared" si="0"/>
        <v>192</v>
      </c>
      <c r="G13" s="19"/>
      <c r="H13" s="32">
        <v>8</v>
      </c>
      <c r="I13" s="30"/>
      <c r="J13" s="30">
        <v>45</v>
      </c>
      <c r="K13" s="31">
        <f t="shared" si="1"/>
        <v>560</v>
      </c>
      <c r="P13" s="12"/>
    </row>
    <row r="14" spans="2:16" x14ac:dyDescent="0.3">
      <c r="B14" s="11"/>
      <c r="C14" s="29">
        <v>43382</v>
      </c>
      <c r="D14" s="30"/>
      <c r="E14" s="30">
        <v>45</v>
      </c>
      <c r="F14" s="31">
        <f t="shared" si="0"/>
        <v>147</v>
      </c>
      <c r="G14" s="19"/>
      <c r="H14" s="32">
        <v>9</v>
      </c>
      <c r="I14" s="30"/>
      <c r="J14" s="30"/>
      <c r="K14" s="31">
        <f t="shared" si="1"/>
        <v>560</v>
      </c>
      <c r="P14" s="12"/>
    </row>
    <row r="15" spans="2:16" x14ac:dyDescent="0.3">
      <c r="B15" s="11"/>
      <c r="C15" s="29">
        <v>43383</v>
      </c>
      <c r="D15" s="30"/>
      <c r="E15" s="30">
        <v>79</v>
      </c>
      <c r="F15" s="31">
        <f t="shared" si="0"/>
        <v>68</v>
      </c>
      <c r="G15" s="19"/>
      <c r="H15" s="32">
        <v>10</v>
      </c>
      <c r="I15" s="30"/>
      <c r="J15" s="30"/>
      <c r="K15" s="31">
        <f t="shared" si="1"/>
        <v>560</v>
      </c>
      <c r="P15" s="12"/>
    </row>
    <row r="16" spans="2:16" x14ac:dyDescent="0.3">
      <c r="B16" s="11"/>
      <c r="C16" s="29">
        <v>43384</v>
      </c>
      <c r="D16" s="30">
        <v>600</v>
      </c>
      <c r="E16" s="30">
        <v>92</v>
      </c>
      <c r="F16" s="31">
        <f t="shared" si="0"/>
        <v>576</v>
      </c>
      <c r="G16" s="19"/>
      <c r="H16" s="32">
        <v>11</v>
      </c>
      <c r="I16" s="30"/>
      <c r="J16" s="30"/>
      <c r="K16" s="31">
        <f t="shared" si="1"/>
        <v>560</v>
      </c>
      <c r="P16" s="12"/>
    </row>
    <row r="17" spans="2:16" x14ac:dyDescent="0.3">
      <c r="B17" s="11"/>
      <c r="C17" s="29">
        <v>43385</v>
      </c>
      <c r="D17" s="30"/>
      <c r="E17" s="30">
        <v>235</v>
      </c>
      <c r="F17" s="31">
        <f t="shared" si="0"/>
        <v>341</v>
      </c>
      <c r="G17" s="19"/>
      <c r="H17" s="32">
        <v>12</v>
      </c>
      <c r="I17" s="30"/>
      <c r="J17" s="30"/>
      <c r="K17" s="31">
        <f t="shared" si="1"/>
        <v>560</v>
      </c>
      <c r="P17" s="12"/>
    </row>
    <row r="18" spans="2:16" x14ac:dyDescent="0.3">
      <c r="B18" s="11"/>
      <c r="C18" s="29">
        <v>43386</v>
      </c>
      <c r="D18" s="30"/>
      <c r="E18" s="30">
        <v>341</v>
      </c>
      <c r="F18" s="31">
        <f t="shared" si="0"/>
        <v>0</v>
      </c>
      <c r="G18" s="19"/>
      <c r="H18" s="32">
        <v>13</v>
      </c>
      <c r="I18" s="30"/>
      <c r="J18" s="30"/>
      <c r="K18" s="31">
        <f t="shared" si="1"/>
        <v>560</v>
      </c>
      <c r="P18" s="12"/>
    </row>
    <row r="19" spans="2:16" x14ac:dyDescent="0.3">
      <c r="B19" s="11"/>
      <c r="C19" s="29">
        <v>43387</v>
      </c>
      <c r="D19" s="30">
        <v>200</v>
      </c>
      <c r="E19" s="30">
        <v>123</v>
      </c>
      <c r="F19" s="31">
        <f t="shared" si="0"/>
        <v>77</v>
      </c>
      <c r="G19" s="19"/>
      <c r="H19" s="24">
        <v>14</v>
      </c>
      <c r="I19" s="30"/>
      <c r="J19" s="30"/>
      <c r="K19" s="31">
        <f t="shared" si="1"/>
        <v>560</v>
      </c>
      <c r="P19" s="12"/>
    </row>
    <row r="20" spans="2:16" x14ac:dyDescent="0.3">
      <c r="B20" s="11"/>
      <c r="C20" s="52">
        <v>43388</v>
      </c>
      <c r="D20" s="33"/>
      <c r="E20" s="33">
        <v>50</v>
      </c>
      <c r="F20" s="31">
        <f t="shared" si="0"/>
        <v>27</v>
      </c>
      <c r="G20" s="19"/>
      <c r="H20" s="34" t="s">
        <v>8</v>
      </c>
      <c r="I20" s="35">
        <v>849</v>
      </c>
      <c r="J20" s="35">
        <v>289</v>
      </c>
      <c r="K20" s="36">
        <v>560</v>
      </c>
      <c r="P20" s="12"/>
    </row>
    <row r="21" spans="2:16" x14ac:dyDescent="0.3">
      <c r="B21" s="11"/>
      <c r="P21" s="12"/>
    </row>
    <row r="22" spans="2:16" x14ac:dyDescent="0.3">
      <c r="B22" s="11"/>
      <c r="P22" s="12"/>
    </row>
    <row r="23" spans="2:16" x14ac:dyDescent="0.3">
      <c r="B23" s="11"/>
      <c r="P23" s="12"/>
    </row>
    <row r="24" spans="2:16" x14ac:dyDescent="0.3">
      <c r="B24" s="13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5"/>
    </row>
    <row r="33" customFormat="1" x14ac:dyDescent="0.3"/>
    <row r="34" customFormat="1" x14ac:dyDescent="0.3"/>
    <row r="35" customFormat="1" x14ac:dyDescent="0.3"/>
    <row r="36" customFormat="1" x14ac:dyDescent="0.3"/>
  </sheetData>
  <phoneticPr fontId="3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1DBCF-C6AF-41AF-A0A1-F87694855710}">
  <dimension ref="A1:Q36"/>
  <sheetViews>
    <sheetView showGridLines="0" tabSelected="1" zoomScale="85" zoomScaleNormal="85" workbookViewId="0">
      <selection activeCell="M6" sqref="M6:M17"/>
    </sheetView>
  </sheetViews>
  <sheetFormatPr defaultColWidth="0" defaultRowHeight="14.4" x14ac:dyDescent="0.3"/>
  <cols>
    <col min="1" max="1" width="3.77734375" customWidth="1"/>
    <col min="2" max="16" width="11.77734375" customWidth="1"/>
    <col min="17" max="17" width="3.77734375" customWidth="1"/>
    <col min="18" max="16384" width="11.77734375" hidden="1"/>
  </cols>
  <sheetData>
    <row r="1" spans="2:16" ht="40.049999999999997" customHeight="1" x14ac:dyDescent="0.3"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</row>
    <row r="2" spans="2:16" ht="30" customHeight="1" x14ac:dyDescent="0.3">
      <c r="B2" s="4"/>
      <c r="C2" s="5"/>
      <c r="D2" s="5"/>
      <c r="E2" s="6"/>
      <c r="F2" s="5"/>
      <c r="G2" s="5"/>
      <c r="H2" s="5"/>
      <c r="I2" s="5"/>
      <c r="J2" s="5"/>
      <c r="K2" s="5"/>
      <c r="L2" s="5"/>
      <c r="M2" s="5"/>
      <c r="N2" s="5"/>
      <c r="O2" s="5"/>
      <c r="P2" s="7"/>
    </row>
    <row r="3" spans="2:16" x14ac:dyDescent="0.3">
      <c r="B3" s="8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10"/>
    </row>
    <row r="4" spans="2:16" x14ac:dyDescent="0.3">
      <c r="B4" s="11"/>
      <c r="C4" s="37" t="s">
        <v>9</v>
      </c>
      <c r="D4" s="38"/>
      <c r="E4" s="38"/>
      <c r="F4" s="38"/>
      <c r="G4" s="38"/>
      <c r="H4" s="38"/>
      <c r="I4" s="39">
        <v>2017</v>
      </c>
      <c r="K4" s="56">
        <v>2017</v>
      </c>
      <c r="L4" s="57"/>
      <c r="M4" s="58"/>
      <c r="P4" s="12"/>
    </row>
    <row r="5" spans="2:16" x14ac:dyDescent="0.3">
      <c r="B5" s="11"/>
      <c r="C5" s="40" t="s">
        <v>10</v>
      </c>
      <c r="D5" s="41" t="s">
        <v>1</v>
      </c>
      <c r="E5" s="41" t="s">
        <v>11</v>
      </c>
      <c r="F5" s="41" t="s">
        <v>12</v>
      </c>
      <c r="G5" s="41" t="s">
        <v>13</v>
      </c>
      <c r="H5" s="41" t="s">
        <v>14</v>
      </c>
      <c r="I5" s="42" t="s">
        <v>15</v>
      </c>
      <c r="K5" s="59" t="s">
        <v>33</v>
      </c>
      <c r="L5" s="60"/>
      <c r="M5" s="61"/>
      <c r="P5" s="12"/>
    </row>
    <row r="6" spans="2:16" ht="13.8" customHeight="1" x14ac:dyDescent="0.3">
      <c r="B6" s="11"/>
      <c r="C6" s="43" t="s">
        <v>16</v>
      </c>
      <c r="D6" s="44">
        <v>187</v>
      </c>
      <c r="E6" s="44">
        <v>261</v>
      </c>
      <c r="F6" s="44">
        <v>396</v>
      </c>
      <c r="G6" s="44">
        <v>727</v>
      </c>
      <c r="H6" s="44">
        <v>602</v>
      </c>
      <c r="I6" s="45">
        <v>893</v>
      </c>
      <c r="K6" s="62">
        <f>AVERAGE(D6:I6)</f>
        <v>511</v>
      </c>
      <c r="L6" s="63">
        <f>K6</f>
        <v>511</v>
      </c>
      <c r="M6" s="64">
        <f>K6</f>
        <v>511</v>
      </c>
      <c r="P6" s="12"/>
    </row>
    <row r="7" spans="2:16" x14ac:dyDescent="0.3">
      <c r="B7" s="11"/>
      <c r="C7" s="46" t="s">
        <v>17</v>
      </c>
      <c r="D7" s="47">
        <v>998</v>
      </c>
      <c r="E7" s="47">
        <v>51</v>
      </c>
      <c r="F7" s="47">
        <v>379</v>
      </c>
      <c r="G7" s="47">
        <v>81</v>
      </c>
      <c r="H7" s="47">
        <v>552</v>
      </c>
      <c r="I7" s="48">
        <v>89</v>
      </c>
      <c r="K7" s="65">
        <f t="shared" ref="K7:K17" si="0">AVERAGE(D7:I7)</f>
        <v>358.33333333333331</v>
      </c>
      <c r="L7" s="66">
        <f t="shared" ref="L7:L17" si="1">K7</f>
        <v>358.33333333333331</v>
      </c>
      <c r="M7" s="67">
        <f t="shared" ref="M7:M17" si="2">K7</f>
        <v>358.33333333333331</v>
      </c>
      <c r="P7" s="12"/>
    </row>
    <row r="8" spans="2:16" x14ac:dyDescent="0.3">
      <c r="B8" s="11"/>
      <c r="C8" s="46" t="s">
        <v>18</v>
      </c>
      <c r="D8" s="47">
        <v>584</v>
      </c>
      <c r="E8" s="47">
        <v>658</v>
      </c>
      <c r="F8" s="47">
        <v>641</v>
      </c>
      <c r="G8" s="47">
        <v>610</v>
      </c>
      <c r="H8" s="47">
        <v>120</v>
      </c>
      <c r="I8" s="48">
        <v>401</v>
      </c>
      <c r="K8" s="65">
        <f t="shared" si="0"/>
        <v>502.33333333333331</v>
      </c>
      <c r="L8" s="66">
        <f t="shared" si="1"/>
        <v>502.33333333333331</v>
      </c>
      <c r="M8" s="67">
        <f t="shared" si="2"/>
        <v>502.33333333333331</v>
      </c>
      <c r="P8" s="12"/>
    </row>
    <row r="9" spans="2:16" x14ac:dyDescent="0.3">
      <c r="B9" s="11"/>
      <c r="C9" s="46" t="s">
        <v>19</v>
      </c>
      <c r="D9" s="47">
        <v>917</v>
      </c>
      <c r="E9" s="47">
        <v>63</v>
      </c>
      <c r="F9" s="47">
        <v>139</v>
      </c>
      <c r="G9" s="47">
        <v>82</v>
      </c>
      <c r="H9" s="47">
        <v>247</v>
      </c>
      <c r="I9" s="48">
        <v>524</v>
      </c>
      <c r="K9" s="65">
        <f>AVERAGE(D9:I9)</f>
        <v>328.66666666666669</v>
      </c>
      <c r="L9" s="66">
        <f t="shared" si="1"/>
        <v>328.66666666666669</v>
      </c>
      <c r="M9" s="67">
        <f t="shared" si="2"/>
        <v>328.66666666666669</v>
      </c>
      <c r="P9" s="12"/>
    </row>
    <row r="10" spans="2:16" x14ac:dyDescent="0.3">
      <c r="B10" s="11"/>
      <c r="C10" s="46" t="s">
        <v>20</v>
      </c>
      <c r="D10" s="47">
        <v>155</v>
      </c>
      <c r="E10" s="47">
        <v>171</v>
      </c>
      <c r="F10" s="47">
        <v>63</v>
      </c>
      <c r="G10" s="47">
        <v>980</v>
      </c>
      <c r="H10" s="47">
        <v>351</v>
      </c>
      <c r="I10" s="48">
        <v>85</v>
      </c>
      <c r="K10" s="65">
        <f t="shared" si="0"/>
        <v>300.83333333333331</v>
      </c>
      <c r="L10" s="66">
        <f t="shared" si="1"/>
        <v>300.83333333333331</v>
      </c>
      <c r="M10" s="67">
        <f t="shared" si="2"/>
        <v>300.83333333333331</v>
      </c>
      <c r="P10" s="12"/>
    </row>
    <row r="11" spans="2:16" x14ac:dyDescent="0.3">
      <c r="B11" s="11"/>
      <c r="C11" s="46" t="s">
        <v>21</v>
      </c>
      <c r="D11" s="47">
        <v>452</v>
      </c>
      <c r="E11" s="47">
        <v>471</v>
      </c>
      <c r="F11" s="47">
        <v>915</v>
      </c>
      <c r="G11" s="47">
        <v>462</v>
      </c>
      <c r="H11" s="47">
        <v>950</v>
      </c>
      <c r="I11" s="48">
        <v>775</v>
      </c>
      <c r="K11" s="65">
        <f t="shared" si="0"/>
        <v>670.83333333333337</v>
      </c>
      <c r="L11" s="66">
        <f t="shared" si="1"/>
        <v>670.83333333333337</v>
      </c>
      <c r="M11" s="67">
        <f t="shared" si="2"/>
        <v>670.83333333333337</v>
      </c>
      <c r="P11" s="12"/>
    </row>
    <row r="12" spans="2:16" x14ac:dyDescent="0.3">
      <c r="B12" s="11"/>
      <c r="C12" s="46" t="s">
        <v>22</v>
      </c>
      <c r="D12" s="47">
        <v>52</v>
      </c>
      <c r="E12" s="47">
        <v>708</v>
      </c>
      <c r="F12" s="47">
        <v>363</v>
      </c>
      <c r="G12" s="47">
        <v>717</v>
      </c>
      <c r="H12" s="47">
        <v>824</v>
      </c>
      <c r="I12" s="48">
        <v>904</v>
      </c>
      <c r="K12" s="65">
        <f t="shared" si="0"/>
        <v>594.66666666666663</v>
      </c>
      <c r="L12" s="66">
        <f t="shared" si="1"/>
        <v>594.66666666666663</v>
      </c>
      <c r="M12" s="67">
        <f t="shared" si="2"/>
        <v>594.66666666666663</v>
      </c>
      <c r="P12" s="12"/>
    </row>
    <row r="13" spans="2:16" x14ac:dyDescent="0.3">
      <c r="B13" s="11"/>
      <c r="C13" s="46" t="s">
        <v>23</v>
      </c>
      <c r="D13" s="47">
        <v>975</v>
      </c>
      <c r="E13" s="47">
        <v>250</v>
      </c>
      <c r="F13" s="47">
        <v>143</v>
      </c>
      <c r="G13" s="47">
        <v>303</v>
      </c>
      <c r="H13" s="47">
        <v>847</v>
      </c>
      <c r="I13" s="48">
        <v>292</v>
      </c>
      <c r="K13" s="65">
        <f t="shared" si="0"/>
        <v>468.33333333333331</v>
      </c>
      <c r="L13" s="66">
        <f t="shared" si="1"/>
        <v>468.33333333333331</v>
      </c>
      <c r="M13" s="67">
        <f t="shared" si="2"/>
        <v>468.33333333333331</v>
      </c>
      <c r="P13" s="12"/>
    </row>
    <row r="14" spans="2:16" x14ac:dyDescent="0.3">
      <c r="B14" s="11"/>
      <c r="C14" s="46" t="s">
        <v>24</v>
      </c>
      <c r="D14" s="47">
        <v>705</v>
      </c>
      <c r="E14" s="47">
        <v>854</v>
      </c>
      <c r="F14" s="47">
        <v>786</v>
      </c>
      <c r="G14" s="47">
        <v>65</v>
      </c>
      <c r="H14" s="47">
        <v>416</v>
      </c>
      <c r="I14" s="48">
        <v>574</v>
      </c>
      <c r="K14" s="65">
        <f t="shared" si="0"/>
        <v>566.66666666666663</v>
      </c>
      <c r="L14" s="66">
        <f t="shared" si="1"/>
        <v>566.66666666666663</v>
      </c>
      <c r="M14" s="67">
        <f t="shared" si="2"/>
        <v>566.66666666666663</v>
      </c>
      <c r="P14" s="12"/>
    </row>
    <row r="15" spans="2:16" x14ac:dyDescent="0.3">
      <c r="B15" s="11"/>
      <c r="C15" s="46" t="s">
        <v>25</v>
      </c>
      <c r="D15" s="47">
        <v>369</v>
      </c>
      <c r="E15" s="47">
        <v>656</v>
      </c>
      <c r="F15" s="47">
        <v>582</v>
      </c>
      <c r="G15" s="47">
        <v>628</v>
      </c>
      <c r="H15" s="47">
        <v>741</v>
      </c>
      <c r="I15" s="48">
        <v>246</v>
      </c>
      <c r="K15" s="65">
        <f t="shared" si="0"/>
        <v>537</v>
      </c>
      <c r="L15" s="66">
        <f t="shared" si="1"/>
        <v>537</v>
      </c>
      <c r="M15" s="67">
        <f t="shared" si="2"/>
        <v>537</v>
      </c>
      <c r="P15" s="12"/>
    </row>
    <row r="16" spans="2:16" x14ac:dyDescent="0.3">
      <c r="B16" s="11"/>
      <c r="C16" s="46" t="s">
        <v>26</v>
      </c>
      <c r="D16" s="47">
        <v>84</v>
      </c>
      <c r="E16" s="47">
        <v>199</v>
      </c>
      <c r="F16" s="47">
        <v>214</v>
      </c>
      <c r="G16" s="47">
        <v>20</v>
      </c>
      <c r="H16" s="47">
        <v>340</v>
      </c>
      <c r="I16" s="48">
        <v>772</v>
      </c>
      <c r="K16" s="65">
        <f t="shared" si="0"/>
        <v>271.5</v>
      </c>
      <c r="L16" s="66">
        <f t="shared" si="1"/>
        <v>271.5</v>
      </c>
      <c r="M16" s="67">
        <f t="shared" si="2"/>
        <v>271.5</v>
      </c>
      <c r="P16" s="12"/>
    </row>
    <row r="17" spans="2:16" x14ac:dyDescent="0.3">
      <c r="B17" s="11"/>
      <c r="C17" s="49" t="s">
        <v>27</v>
      </c>
      <c r="D17" s="50">
        <v>982</v>
      </c>
      <c r="E17" s="50">
        <v>409</v>
      </c>
      <c r="F17" s="50">
        <v>97</v>
      </c>
      <c r="G17" s="50">
        <v>355</v>
      </c>
      <c r="H17" s="50">
        <v>589</v>
      </c>
      <c r="I17" s="51">
        <v>607</v>
      </c>
      <c r="K17" s="68">
        <f t="shared" si="0"/>
        <v>506.5</v>
      </c>
      <c r="L17" s="69">
        <f t="shared" si="1"/>
        <v>506.5</v>
      </c>
      <c r="M17" s="70">
        <f t="shared" si="2"/>
        <v>506.5</v>
      </c>
      <c r="P17" s="12"/>
    </row>
    <row r="18" spans="2:16" x14ac:dyDescent="0.3">
      <c r="B18" s="11"/>
      <c r="K18" s="47"/>
      <c r="L18" s="47"/>
      <c r="M18" s="47"/>
      <c r="P18" s="12"/>
    </row>
    <row r="19" spans="2:16" x14ac:dyDescent="0.3">
      <c r="B19" s="11"/>
      <c r="C19" s="53" t="s">
        <v>28</v>
      </c>
      <c r="D19" s="47"/>
      <c r="E19" s="53" t="s">
        <v>29</v>
      </c>
      <c r="F19" s="53">
        <v>900</v>
      </c>
      <c r="K19" s="37" t="s">
        <v>28</v>
      </c>
      <c r="L19" s="44"/>
      <c r="M19" s="45"/>
      <c r="P19" s="12"/>
    </row>
    <row r="20" spans="2:16" x14ac:dyDescent="0.3">
      <c r="B20" s="11"/>
      <c r="C20" s="54" t="s">
        <v>30</v>
      </c>
      <c r="D20" s="47"/>
      <c r="E20" s="53" t="s">
        <v>31</v>
      </c>
      <c r="F20" s="53">
        <v>100</v>
      </c>
      <c r="K20" s="71" t="s">
        <v>34</v>
      </c>
      <c r="L20" s="72" t="s">
        <v>35</v>
      </c>
      <c r="M20" s="71" t="s">
        <v>36</v>
      </c>
      <c r="P20" s="12"/>
    </row>
    <row r="21" spans="2:16" x14ac:dyDescent="0.3">
      <c r="B21" s="11"/>
      <c r="C21" s="55" t="s">
        <v>32</v>
      </c>
      <c r="D21" s="47"/>
      <c r="E21" s="47"/>
      <c r="F21" s="47"/>
      <c r="K21" s="73"/>
      <c r="L21" s="74"/>
      <c r="M21" s="75"/>
      <c r="P21" s="12"/>
    </row>
    <row r="22" spans="2:16" x14ac:dyDescent="0.3">
      <c r="B22" s="11"/>
      <c r="P22" s="12"/>
    </row>
    <row r="23" spans="2:16" x14ac:dyDescent="0.3">
      <c r="B23" s="11"/>
      <c r="P23" s="12"/>
    </row>
    <row r="24" spans="2:16" x14ac:dyDescent="0.3">
      <c r="B24" s="13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5"/>
    </row>
    <row r="33" customFormat="1" x14ac:dyDescent="0.3"/>
    <row r="34" customFormat="1" x14ac:dyDescent="0.3"/>
    <row r="35" customFormat="1" x14ac:dyDescent="0.3"/>
    <row r="36" customFormat="1" x14ac:dyDescent="0.3"/>
  </sheetData>
  <mergeCells count="2">
    <mergeCell ref="K4:M4"/>
    <mergeCell ref="K5:M5"/>
  </mergeCells>
  <phoneticPr fontId="3" type="noConversion"/>
  <conditionalFormatting sqref="D6:I17">
    <cfRule type="cellIs" dxfId="3" priority="5" operator="lessThanOrEqual">
      <formula>$F$20</formula>
    </cfRule>
    <cfRule type="cellIs" dxfId="2" priority="4" operator="greaterThanOrEqual">
      <formula>$F$19</formula>
    </cfRule>
  </conditionalFormatting>
  <conditionalFormatting sqref="L6:L17">
    <cfRule type="iconSet" priority="2">
      <iconSet showValue="0" reverse="1">
        <cfvo type="percent" val="0"/>
        <cfvo type="num" val="320" gte="0"/>
        <cfvo type="num" val="550" gte="0"/>
      </iconSet>
    </cfRule>
  </conditionalFormatting>
  <conditionalFormatting sqref="M6:M17">
    <cfRule type="dataBar" priority="1">
      <dataBar showValue="0">
        <cfvo type="min"/>
        <cfvo type="max"/>
        <color rgb="FF638EC6"/>
      </dataBar>
      <extLst>
        <ext xmlns:x14="http://schemas.microsoft.com/office/spreadsheetml/2009/9/main" uri="{B025F937-C7B1-47D3-B67F-A62EFF666E3E}">
          <x14:id>{54880BDC-3154-45E0-91CE-5BE64342CFFD}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4880BDC-3154-45E0-91CE-5BE64342CFF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M6:M17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MENU</vt:lpstr>
      <vt:lpstr>LANÇAMENTOS</vt:lpstr>
      <vt:lpstr>RELATÓRIOS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Ferreira</dc:creator>
  <cp:lastModifiedBy>Samuel Ferreira</cp:lastModifiedBy>
  <dcterms:created xsi:type="dcterms:W3CDTF">2015-06-05T18:19:34Z</dcterms:created>
  <dcterms:modified xsi:type="dcterms:W3CDTF">2024-07-22T14:06:30Z</dcterms:modified>
</cp:coreProperties>
</file>