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https://d.docs.live.net/efef236b2c8bb538/Documentos/Curso de Excel/"/>
    </mc:Choice>
  </mc:AlternateContent>
  <xr:revisionPtr revIDLastSave="12" documentId="11_95BA51D6ADB811122B3896B033FB7F06EF9272E9" xr6:coauthVersionLast="47" xr6:coauthVersionMax="47" xr10:uidLastSave="{51B87DA6-0198-4CC1-B496-22D4FE471035}"/>
  <bookViews>
    <workbookView xWindow="-96" yWindow="0" windowWidth="11712" windowHeight="12336" firstSheet="1" activeTab="2" xr2:uid="{00000000-000D-0000-FFFF-FFFF00000000}"/>
  </bookViews>
  <sheets>
    <sheet name="RPA-Set2018" sheetId="1" r:id="rId1"/>
    <sheet name="RPA-Out2018" sheetId="4" r:id="rId2"/>
    <sheet name="RPA-Ano2018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3" l="1"/>
  <c r="F5" i="1"/>
  <c r="G8" i="1"/>
  <c r="H6" i="1"/>
  <c r="G6" i="1"/>
  <c r="F6" i="1"/>
  <c r="F5" i="4"/>
  <c r="E10" i="1"/>
  <c r="F7" i="1" l="1"/>
  <c r="F8" i="1"/>
  <c r="F9" i="1"/>
  <c r="G5" i="1"/>
  <c r="E10" i="4" l="1"/>
  <c r="C7" i="3" s="1"/>
  <c r="C9" i="3"/>
  <c r="G9" i="4" l="1"/>
  <c r="F9" i="4"/>
  <c r="H9" i="4" s="1"/>
  <c r="G8" i="4"/>
  <c r="F8" i="4"/>
  <c r="H8" i="4" s="1"/>
  <c r="G7" i="4"/>
  <c r="F7" i="4"/>
  <c r="H7" i="4" s="1"/>
  <c r="G6" i="4"/>
  <c r="F6" i="4"/>
  <c r="H6" i="4" s="1"/>
  <c r="G5" i="4"/>
  <c r="G7" i="1"/>
  <c r="G9" i="1"/>
  <c r="H5" i="1"/>
  <c r="F10" i="1" l="1"/>
  <c r="D6" i="3" s="1"/>
  <c r="G10" i="1"/>
  <c r="E6" i="3" s="1"/>
  <c r="H5" i="4"/>
  <c r="H10" i="4" s="1"/>
  <c r="F7" i="3" s="1"/>
  <c r="F10" i="4"/>
  <c r="D7" i="3" s="1"/>
  <c r="G10" i="4"/>
  <c r="E7" i="3" s="1"/>
  <c r="H9" i="1"/>
  <c r="H8" i="1"/>
  <c r="H7" i="1"/>
  <c r="E9" i="3" l="1"/>
  <c r="D9" i="3"/>
  <c r="H10" i="1"/>
  <c r="F6" i="3" s="1"/>
  <c r="F9" i="3" s="1"/>
</calcChain>
</file>

<file path=xl/sharedStrings.xml><?xml version="1.0" encoding="utf-8"?>
<sst xmlns="http://schemas.openxmlformats.org/spreadsheetml/2006/main" count="48" uniqueCount="27">
  <si>
    <t>RELATÓRIO DE PAGAMENTO DE RPA</t>
  </si>
  <si>
    <t>DATA</t>
  </si>
  <si>
    <t>NOME</t>
  </si>
  <si>
    <t>CPF</t>
  </si>
  <si>
    <t>VALOR DO SERVIÇO</t>
  </si>
  <si>
    <t>INSS DESCONTADO</t>
  </si>
  <si>
    <t>INSS DA EMPRESA</t>
  </si>
  <si>
    <t>VALOR LÍQUIDO A PAGAR</t>
  </si>
  <si>
    <t>MÊS</t>
  </si>
  <si>
    <t>ANO</t>
  </si>
  <si>
    <t>Albert Einstein</t>
  </si>
  <si>
    <t>Setembro</t>
  </si>
  <si>
    <t>TOTAL DO PERÍODO</t>
  </si>
  <si>
    <t>Thomas Edison</t>
  </si>
  <si>
    <t>George Lucas</t>
  </si>
  <si>
    <t>Outubro</t>
  </si>
  <si>
    <t>Tabela de Alíquotas do INSS</t>
  </si>
  <si>
    <t>Descontado do autônomo</t>
  </si>
  <si>
    <t>Contribuição da empresa</t>
  </si>
  <si>
    <t>VALOR DOS SERVIÇOS</t>
  </si>
  <si>
    <t>VALOR LÍQUIDO PAGO</t>
  </si>
  <si>
    <t>...</t>
  </si>
  <si>
    <t>TOTAL</t>
  </si>
  <si>
    <t>Galileu Galilei</t>
  </si>
  <si>
    <t>Francis Bacon</t>
  </si>
  <si>
    <t>Isaac Newton</t>
  </si>
  <si>
    <t>RESUMO ANUAL DO PAGAMENTO DE RPA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</si>
</sst>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&quot;.&quot;000&quot;.&quot;000&quot;-&quot;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5" tint="-0.499984740745262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5"/>
      <color theme="9" tint="-0.499984740745262"/>
      <name val="Arial Black"/>
      <family val="2"/>
    </font>
    <font>
      <b/>
      <sz val="13"/>
      <color theme="9" tint="-0.499984740745262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/>
      <diagonal/>
    </border>
    <border>
      <left style="thin">
        <color theme="3" tint="-0.24994659260841701"/>
      </left>
      <right style="thin">
        <color theme="3" tint="-0.24994659260841701"/>
      </right>
      <top/>
      <bottom style="thin">
        <color theme="3" tint="-0.24994659260841701"/>
      </bottom>
      <diagonal/>
    </border>
    <border>
      <left style="thin">
        <color theme="3" tint="-0.24994659260841701"/>
      </left>
      <right/>
      <top style="thin">
        <color theme="3" tint="-0.24994659260841701"/>
      </top>
      <bottom style="thin">
        <color theme="3" tint="-0.24994659260841701"/>
      </bottom>
      <diagonal/>
    </border>
    <border>
      <left/>
      <right/>
      <top style="thin">
        <color theme="3" tint="-0.24994659260841701"/>
      </top>
      <bottom style="thin">
        <color theme="3" tint="-0.24994659260841701"/>
      </bottom>
      <diagonal/>
    </border>
    <border>
      <left/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4" fontId="3" fillId="0" borderId="1" xfId="0" applyNumberFormat="1" applyFont="1" applyBorder="1" applyAlignment="1">
      <alignment vertical="center"/>
    </xf>
    <xf numFmtId="14" fontId="3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6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9" fontId="3" fillId="0" borderId="7" xfId="1" applyFont="1" applyBorder="1" applyAlignment="1">
      <alignment horizontal="center" vertical="center"/>
    </xf>
    <xf numFmtId="4" fontId="7" fillId="0" borderId="1" xfId="0" applyNumberFormat="1" applyFont="1" applyBorder="1" applyAlignment="1">
      <alignment vertical="center"/>
    </xf>
    <xf numFmtId="0" fontId="5" fillId="2" borderId="8" xfId="0" applyFont="1" applyFill="1" applyBorder="1" applyAlignment="1">
      <alignment horizontal="center" vertical="center"/>
    </xf>
    <xf numFmtId="4" fontId="3" fillId="0" borderId="8" xfId="0" applyNumberFormat="1" applyFont="1" applyBorder="1" applyAlignment="1">
      <alignment vertical="center"/>
    </xf>
    <xf numFmtId="4" fontId="7" fillId="0" borderId="8" xfId="0" applyNumberFormat="1" applyFont="1" applyBorder="1" applyAlignment="1">
      <alignment vertical="center"/>
    </xf>
    <xf numFmtId="0" fontId="7" fillId="0" borderId="8" xfId="0" applyFont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left" vertical="center" wrapText="1"/>
    </xf>
    <xf numFmtId="49" fontId="3" fillId="0" borderId="1" xfId="1" applyNumberFormat="1" applyFont="1" applyBorder="1" applyAlignment="1">
      <alignment horizontal="left" vertical="center"/>
    </xf>
    <xf numFmtId="4" fontId="4" fillId="2" borderId="1" xfId="0" applyNumberFormat="1" applyFont="1" applyFill="1" applyBorder="1" applyAlignment="1">
      <alignment horizontal="right" vertical="center" wrapText="1"/>
    </xf>
    <xf numFmtId="49" fontId="7" fillId="0" borderId="8" xfId="0" applyNumberFormat="1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center" vertical="center"/>
    </xf>
    <xf numFmtId="4" fontId="7" fillId="0" borderId="8" xfId="0" applyNumberFormat="1" applyFont="1" applyBorder="1" applyAlignment="1">
      <alignment horizontal="right" vertical="center" wrapText="1"/>
    </xf>
    <xf numFmtId="0" fontId="7" fillId="2" borderId="8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4" fontId="7" fillId="0" borderId="4" xfId="0" applyNumberFormat="1" applyFont="1" applyBorder="1" applyAlignment="1">
      <alignment horizontal="right" vertical="center"/>
    </xf>
    <xf numFmtId="14" fontId="7" fillId="0" borderId="5" xfId="0" applyNumberFormat="1" applyFont="1" applyBorder="1" applyAlignment="1">
      <alignment horizontal="right" vertical="center"/>
    </xf>
    <xf numFmtId="14" fontId="7" fillId="0" borderId="6" xfId="0" applyNumberFormat="1" applyFont="1" applyBorder="1" applyAlignment="1">
      <alignment horizontal="right" vertical="center"/>
    </xf>
    <xf numFmtId="0" fontId="3" fillId="0" borderId="7" xfId="0" applyFont="1" applyBorder="1" applyAlignment="1">
      <alignment horizontal="left" vertical="center"/>
    </xf>
    <xf numFmtId="0" fontId="7" fillId="0" borderId="7" xfId="0" applyFont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5"/>
  <sheetViews>
    <sheetView showGridLines="0" zoomScale="70" zoomScaleNormal="70" workbookViewId="0">
      <selection activeCell="F10" sqref="F10"/>
    </sheetView>
  </sheetViews>
  <sheetFormatPr defaultColWidth="0" defaultRowHeight="20.100000000000001" customHeight="1" x14ac:dyDescent="0.3"/>
  <cols>
    <col min="1" max="1" width="5.6640625" style="8" customWidth="1"/>
    <col min="2" max="2" width="12.6640625" style="8" customWidth="1"/>
    <col min="3" max="3" width="40.6640625" style="8" customWidth="1"/>
    <col min="4" max="4" width="20.6640625" style="8" customWidth="1"/>
    <col min="5" max="8" width="15.6640625" style="8" customWidth="1"/>
    <col min="9" max="9" width="5.6640625" style="8" customWidth="1"/>
    <col min="10" max="16384" width="9.109375" style="8" hidden="1"/>
  </cols>
  <sheetData>
    <row r="2" spans="2:8" ht="20.100000000000001" customHeight="1" x14ac:dyDescent="0.3">
      <c r="B2" s="24" t="s">
        <v>0</v>
      </c>
      <c r="C2" s="24"/>
      <c r="D2" s="24"/>
      <c r="E2" s="24"/>
      <c r="F2" s="24"/>
      <c r="G2" s="5" t="s">
        <v>8</v>
      </c>
      <c r="H2" s="5" t="s">
        <v>9</v>
      </c>
    </row>
    <row r="3" spans="2:8" ht="20.100000000000001" customHeight="1" x14ac:dyDescent="0.3">
      <c r="B3" s="24"/>
      <c r="C3" s="24"/>
      <c r="D3" s="24"/>
      <c r="E3" s="24"/>
      <c r="F3" s="24"/>
      <c r="G3" s="6" t="s">
        <v>11</v>
      </c>
      <c r="H3" s="6">
        <v>2018</v>
      </c>
    </row>
    <row r="4" spans="2:8" ht="30" customHeight="1" x14ac:dyDescent="0.3">
      <c r="B4" s="16" t="s">
        <v>1</v>
      </c>
      <c r="C4" s="17" t="s">
        <v>2</v>
      </c>
      <c r="D4" s="3" t="s">
        <v>3</v>
      </c>
      <c r="E4" s="4" t="s">
        <v>4</v>
      </c>
      <c r="F4" s="4" t="s">
        <v>5</v>
      </c>
      <c r="G4" s="4" t="s">
        <v>6</v>
      </c>
      <c r="H4" s="4" t="s">
        <v>7</v>
      </c>
    </row>
    <row r="5" spans="2:8" ht="20.100000000000001" customHeight="1" x14ac:dyDescent="0.3">
      <c r="B5" s="2">
        <v>43344</v>
      </c>
      <c r="C5" s="18" t="s">
        <v>10</v>
      </c>
      <c r="D5" s="7">
        <v>12357689000</v>
      </c>
      <c r="E5" s="1">
        <v>1200</v>
      </c>
      <c r="F5" s="1">
        <f>E5*$D$13</f>
        <v>132</v>
      </c>
      <c r="G5" s="1">
        <f>E5*$D$14</f>
        <v>240</v>
      </c>
      <c r="H5" s="1">
        <f>E5-F5</f>
        <v>1068</v>
      </c>
    </row>
    <row r="6" spans="2:8" ht="20.100000000000001" customHeight="1" x14ac:dyDescent="0.3">
      <c r="B6" s="2">
        <v>43344</v>
      </c>
      <c r="C6" s="18" t="s">
        <v>13</v>
      </c>
      <c r="D6" s="7">
        <v>89012346956</v>
      </c>
      <c r="E6" s="1">
        <v>955</v>
      </c>
      <c r="F6" s="1">
        <f>E6*$D$13</f>
        <v>105.05</v>
      </c>
      <c r="G6" s="1">
        <f>E6*$D$14</f>
        <v>191</v>
      </c>
      <c r="H6" s="1">
        <f t="shared" ref="H6:H9" si="0">E6-F6</f>
        <v>849.95</v>
      </c>
    </row>
    <row r="7" spans="2:8" ht="20.100000000000001" customHeight="1" x14ac:dyDescent="0.3">
      <c r="B7" s="2">
        <v>43348</v>
      </c>
      <c r="C7" s="18" t="s">
        <v>14</v>
      </c>
      <c r="D7" s="7">
        <v>34567812389</v>
      </c>
      <c r="E7" s="1">
        <v>345</v>
      </c>
      <c r="F7" s="1">
        <f t="shared" ref="F6:F9" si="1">E7*$D$13</f>
        <v>37.950000000000003</v>
      </c>
      <c r="G7" s="1">
        <f t="shared" ref="G6:G9" si="2">E7*$D$14</f>
        <v>69</v>
      </c>
      <c r="H7" s="1">
        <f t="shared" si="0"/>
        <v>307.05</v>
      </c>
    </row>
    <row r="8" spans="2:8" ht="20.100000000000001" customHeight="1" x14ac:dyDescent="0.3">
      <c r="B8" s="2"/>
      <c r="C8" s="18"/>
      <c r="D8" s="7"/>
      <c r="E8" s="1"/>
      <c r="F8" s="1">
        <f t="shared" si="1"/>
        <v>0</v>
      </c>
      <c r="G8" s="1">
        <f>E8*$D$14</f>
        <v>0</v>
      </c>
      <c r="H8" s="1">
        <f t="shared" si="0"/>
        <v>0</v>
      </c>
    </row>
    <row r="9" spans="2:8" ht="20.100000000000001" customHeight="1" x14ac:dyDescent="0.3">
      <c r="B9" s="2"/>
      <c r="C9" s="18"/>
      <c r="D9" s="7"/>
      <c r="E9" s="1"/>
      <c r="F9" s="1">
        <f t="shared" si="1"/>
        <v>0</v>
      </c>
      <c r="G9" s="1">
        <f t="shared" si="2"/>
        <v>0</v>
      </c>
      <c r="H9" s="1">
        <f t="shared" si="0"/>
        <v>0</v>
      </c>
    </row>
    <row r="10" spans="2:8" ht="20.100000000000001" customHeight="1" x14ac:dyDescent="0.3">
      <c r="B10" s="25" t="s">
        <v>12</v>
      </c>
      <c r="C10" s="26"/>
      <c r="D10" s="27"/>
      <c r="E10" s="11">
        <f>SUM(E5:E9)</f>
        <v>2500</v>
      </c>
      <c r="F10" s="11">
        <f t="shared" ref="F10:H10" si="3">SUM(F5:F9)</f>
        <v>275</v>
      </c>
      <c r="G10" s="11">
        <f t="shared" si="3"/>
        <v>500</v>
      </c>
      <c r="H10" s="11">
        <f t="shared" si="3"/>
        <v>2225</v>
      </c>
    </row>
    <row r="11" spans="2:8" ht="20.100000000000001" customHeight="1" x14ac:dyDescent="0.3">
      <c r="B11" s="9"/>
      <c r="C11" s="9"/>
      <c r="D11" s="9"/>
      <c r="E11" s="9"/>
      <c r="F11" s="9"/>
      <c r="G11" s="9"/>
      <c r="H11" s="9"/>
    </row>
    <row r="12" spans="2:8" ht="20.100000000000001" customHeight="1" x14ac:dyDescent="0.3">
      <c r="B12" s="29" t="s">
        <v>16</v>
      </c>
      <c r="C12" s="29"/>
      <c r="D12" s="29"/>
      <c r="E12" s="9"/>
      <c r="F12" s="9"/>
      <c r="G12" s="9"/>
      <c r="H12" s="9"/>
    </row>
    <row r="13" spans="2:8" ht="20.100000000000001" customHeight="1" x14ac:dyDescent="0.3">
      <c r="B13" s="28" t="s">
        <v>17</v>
      </c>
      <c r="C13" s="28"/>
      <c r="D13" s="10">
        <v>0.11</v>
      </c>
      <c r="E13" s="9"/>
      <c r="F13" s="9"/>
      <c r="G13" s="9"/>
      <c r="H13" s="9"/>
    </row>
    <row r="14" spans="2:8" ht="20.100000000000001" customHeight="1" x14ac:dyDescent="0.3">
      <c r="B14" s="28" t="s">
        <v>18</v>
      </c>
      <c r="C14" s="28"/>
      <c r="D14" s="10">
        <v>0.2</v>
      </c>
      <c r="E14" s="9"/>
      <c r="F14" s="9"/>
      <c r="G14" s="9"/>
      <c r="H14" s="9"/>
    </row>
    <row r="15" spans="2:8" ht="20.100000000000001" customHeight="1" x14ac:dyDescent="0.3">
      <c r="B15" s="9"/>
      <c r="C15" s="9"/>
      <c r="D15" s="9"/>
      <c r="E15" s="9"/>
      <c r="F15" s="9"/>
      <c r="G15" s="9"/>
      <c r="H15" s="9"/>
    </row>
  </sheetData>
  <mergeCells count="5">
    <mergeCell ref="B2:F3"/>
    <mergeCell ref="B10:D10"/>
    <mergeCell ref="B13:C13"/>
    <mergeCell ref="B14:C14"/>
    <mergeCell ref="B12:D1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15"/>
  <sheetViews>
    <sheetView showGridLines="0" zoomScale="70" zoomScaleNormal="70" workbookViewId="0">
      <selection activeCell="B12" sqref="B12:D12"/>
    </sheetView>
  </sheetViews>
  <sheetFormatPr defaultColWidth="0" defaultRowHeight="20.100000000000001" customHeight="1" x14ac:dyDescent="0.3"/>
  <cols>
    <col min="1" max="1" width="5.6640625" style="8" customWidth="1"/>
    <col min="2" max="2" width="12.6640625" style="8" customWidth="1"/>
    <col min="3" max="3" width="40.6640625" style="8" customWidth="1"/>
    <col min="4" max="4" width="20.6640625" style="8" customWidth="1"/>
    <col min="5" max="8" width="15.6640625" style="8" customWidth="1"/>
    <col min="9" max="9" width="5.6640625" style="8" customWidth="1"/>
    <col min="10" max="16384" width="9.109375" style="8" hidden="1"/>
  </cols>
  <sheetData>
    <row r="2" spans="2:8" ht="20.100000000000001" customHeight="1" x14ac:dyDescent="0.3">
      <c r="B2" s="24" t="s">
        <v>0</v>
      </c>
      <c r="C2" s="24"/>
      <c r="D2" s="24"/>
      <c r="E2" s="24"/>
      <c r="F2" s="24"/>
      <c r="G2" s="5" t="s">
        <v>8</v>
      </c>
      <c r="H2" s="5" t="s">
        <v>9</v>
      </c>
    </row>
    <row r="3" spans="2:8" ht="20.100000000000001" customHeight="1" x14ac:dyDescent="0.3">
      <c r="B3" s="24"/>
      <c r="C3" s="24"/>
      <c r="D3" s="24"/>
      <c r="E3" s="24"/>
      <c r="F3" s="24"/>
      <c r="G3" s="6" t="s">
        <v>15</v>
      </c>
      <c r="H3" s="6">
        <v>2018</v>
      </c>
    </row>
    <row r="4" spans="2:8" ht="30" customHeight="1" x14ac:dyDescent="0.3">
      <c r="B4" s="16" t="s">
        <v>1</v>
      </c>
      <c r="C4" s="17" t="s">
        <v>2</v>
      </c>
      <c r="D4" s="3" t="s">
        <v>3</v>
      </c>
      <c r="E4" s="19" t="s">
        <v>4</v>
      </c>
      <c r="F4" s="19" t="s">
        <v>5</v>
      </c>
      <c r="G4" s="19" t="s">
        <v>6</v>
      </c>
      <c r="H4" s="19" t="s">
        <v>7</v>
      </c>
    </row>
    <row r="5" spans="2:8" ht="20.100000000000001" customHeight="1" x14ac:dyDescent="0.3">
      <c r="B5" s="2">
        <v>43378</v>
      </c>
      <c r="C5" s="18" t="s">
        <v>23</v>
      </c>
      <c r="D5" s="7">
        <v>9876543212</v>
      </c>
      <c r="E5" s="1">
        <v>800</v>
      </c>
      <c r="F5" s="1">
        <f>E5*$D$13</f>
        <v>88</v>
      </c>
      <c r="G5" s="1">
        <f>E5*$D$14</f>
        <v>160</v>
      </c>
      <c r="H5" s="1">
        <f>E5-F5</f>
        <v>712</v>
      </c>
    </row>
    <row r="6" spans="2:8" ht="20.100000000000001" customHeight="1" x14ac:dyDescent="0.3">
      <c r="B6" s="2">
        <v>43384</v>
      </c>
      <c r="C6" s="18" t="s">
        <v>24</v>
      </c>
      <c r="D6" s="7">
        <v>13579134689</v>
      </c>
      <c r="E6" s="1">
        <v>250</v>
      </c>
      <c r="F6" s="1">
        <f>E6*$D$13</f>
        <v>27.5</v>
      </c>
      <c r="G6" s="1">
        <f t="shared" ref="G6:G9" si="0">E6*$D$14</f>
        <v>50</v>
      </c>
      <c r="H6" s="1">
        <f t="shared" ref="H6:H9" si="1">E6-F6</f>
        <v>222.5</v>
      </c>
    </row>
    <row r="7" spans="2:8" ht="20.100000000000001" customHeight="1" x14ac:dyDescent="0.3">
      <c r="B7" s="2">
        <v>43390</v>
      </c>
      <c r="C7" s="18" t="s">
        <v>25</v>
      </c>
      <c r="D7" s="7">
        <v>34215675623</v>
      </c>
      <c r="E7" s="1">
        <v>1345</v>
      </c>
      <c r="F7" s="1">
        <f>E7*$D$13</f>
        <v>147.94999999999999</v>
      </c>
      <c r="G7" s="1">
        <f t="shared" si="0"/>
        <v>269</v>
      </c>
      <c r="H7" s="1">
        <f t="shared" si="1"/>
        <v>1197.05</v>
      </c>
    </row>
    <row r="8" spans="2:8" ht="20.100000000000001" customHeight="1" x14ac:dyDescent="0.3">
      <c r="B8" s="2"/>
      <c r="C8" s="18"/>
      <c r="D8" s="7"/>
      <c r="E8" s="1"/>
      <c r="F8" s="1">
        <f>E8*$D$13</f>
        <v>0</v>
      </c>
      <c r="G8" s="1">
        <f t="shared" si="0"/>
        <v>0</v>
      </c>
      <c r="H8" s="1">
        <f t="shared" si="1"/>
        <v>0</v>
      </c>
    </row>
    <row r="9" spans="2:8" ht="20.100000000000001" customHeight="1" x14ac:dyDescent="0.3">
      <c r="B9" s="2"/>
      <c r="C9" s="18"/>
      <c r="D9" s="7"/>
      <c r="E9" s="1"/>
      <c r="F9" s="1">
        <f t="shared" ref="F9" si="2">E9*$D$13</f>
        <v>0</v>
      </c>
      <c r="G9" s="1">
        <f t="shared" si="0"/>
        <v>0</v>
      </c>
      <c r="H9" s="1">
        <f t="shared" si="1"/>
        <v>0</v>
      </c>
    </row>
    <row r="10" spans="2:8" ht="20.100000000000001" customHeight="1" x14ac:dyDescent="0.3">
      <c r="B10" s="25" t="s">
        <v>12</v>
      </c>
      <c r="C10" s="26"/>
      <c r="D10" s="27"/>
      <c r="E10" s="11">
        <f>SUM(E5:E9)</f>
        <v>2395</v>
      </c>
      <c r="F10" s="11">
        <f t="shared" ref="F10:H10" si="3">SUM(F5:F9)</f>
        <v>263.45</v>
      </c>
      <c r="G10" s="11">
        <f t="shared" si="3"/>
        <v>479</v>
      </c>
      <c r="H10" s="11">
        <f t="shared" si="3"/>
        <v>2131.5500000000002</v>
      </c>
    </row>
    <row r="11" spans="2:8" ht="20.100000000000001" customHeight="1" x14ac:dyDescent="0.3">
      <c r="B11" s="9"/>
      <c r="C11" s="9"/>
      <c r="D11" s="9"/>
      <c r="E11" s="9"/>
      <c r="F11" s="9"/>
      <c r="G11" s="9"/>
      <c r="H11" s="9"/>
    </row>
    <row r="12" spans="2:8" ht="20.100000000000001" customHeight="1" x14ac:dyDescent="0.3">
      <c r="B12" s="29" t="s">
        <v>16</v>
      </c>
      <c r="C12" s="29"/>
      <c r="D12" s="29"/>
      <c r="E12" s="9"/>
      <c r="F12" s="9"/>
      <c r="G12" s="9"/>
      <c r="H12" s="9"/>
    </row>
    <row r="13" spans="2:8" ht="20.100000000000001" customHeight="1" x14ac:dyDescent="0.3">
      <c r="B13" s="28" t="s">
        <v>17</v>
      </c>
      <c r="C13" s="28"/>
      <c r="D13" s="10">
        <v>0.11</v>
      </c>
      <c r="E13" s="9"/>
      <c r="F13" s="9"/>
      <c r="G13" s="9"/>
      <c r="H13" s="9"/>
    </row>
    <row r="14" spans="2:8" ht="20.100000000000001" customHeight="1" x14ac:dyDescent="0.3">
      <c r="B14" s="28" t="s">
        <v>18</v>
      </c>
      <c r="C14" s="28"/>
      <c r="D14" s="10">
        <v>0.2</v>
      </c>
      <c r="E14" s="9"/>
      <c r="F14" s="9"/>
      <c r="G14" s="9"/>
      <c r="H14" s="9"/>
    </row>
    <row r="15" spans="2:8" ht="20.100000000000001" customHeight="1" x14ac:dyDescent="0.3">
      <c r="B15" s="9"/>
      <c r="C15" s="9"/>
      <c r="D15" s="9"/>
      <c r="E15" s="9"/>
      <c r="F15" s="9"/>
      <c r="G15" s="9"/>
      <c r="H15" s="9"/>
    </row>
  </sheetData>
  <mergeCells count="5">
    <mergeCell ref="B2:F3"/>
    <mergeCell ref="B10:D10"/>
    <mergeCell ref="B12:D12"/>
    <mergeCell ref="B13:C13"/>
    <mergeCell ref="B14:C14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9"/>
  <sheetViews>
    <sheetView showGridLines="0" tabSelected="1" zoomScale="85" zoomScaleNormal="85" workbookViewId="0">
      <selection activeCell="B5" sqref="B5"/>
    </sheetView>
  </sheetViews>
  <sheetFormatPr defaultColWidth="0" defaultRowHeight="20.100000000000001" customHeight="1" zeroHeight="1" x14ac:dyDescent="0.3"/>
  <cols>
    <col min="1" max="1" width="5.6640625" style="9" customWidth="1"/>
    <col min="2" max="2" width="15.6640625" style="9" customWidth="1"/>
    <col min="3" max="3" width="20.44140625" style="9" customWidth="1"/>
    <col min="4" max="6" width="20.6640625" style="9" customWidth="1"/>
    <col min="7" max="7" width="15.6640625" style="9" customWidth="1"/>
    <col min="8" max="8" width="15.6640625" style="9" hidden="1" customWidth="1"/>
    <col min="9" max="9" width="5.6640625" style="9" hidden="1" customWidth="1"/>
    <col min="10" max="16384" width="9.109375" style="9" hidden="1"/>
  </cols>
  <sheetData>
    <row r="1" spans="2:6" ht="20.100000000000001" customHeight="1" x14ac:dyDescent="0.3"/>
    <row r="2" spans="2:6" ht="20.100000000000001" customHeight="1" x14ac:dyDescent="0.3">
      <c r="B2" s="30" t="s">
        <v>26</v>
      </c>
      <c r="C2" s="31"/>
      <c r="D2" s="31"/>
      <c r="E2" s="32"/>
      <c r="F2" s="23" t="s">
        <v>9</v>
      </c>
    </row>
    <row r="3" spans="2:6" ht="20.100000000000001" customHeight="1" x14ac:dyDescent="0.3">
      <c r="B3" s="33"/>
      <c r="C3" s="34"/>
      <c r="D3" s="34"/>
      <c r="E3" s="35"/>
      <c r="F3" s="12">
        <v>2018</v>
      </c>
    </row>
    <row r="4" spans="2:6" ht="30" customHeight="1" x14ac:dyDescent="0.3">
      <c r="B4" s="20" t="s">
        <v>8</v>
      </c>
      <c r="C4" s="22" t="s">
        <v>19</v>
      </c>
      <c r="D4" s="22" t="s">
        <v>5</v>
      </c>
      <c r="E4" s="22" t="s">
        <v>6</v>
      </c>
      <c r="F4" s="22" t="s">
        <v>20</v>
      </c>
    </row>
    <row r="5" spans="2:6" ht="20.100000000000001" customHeight="1" x14ac:dyDescent="0.3">
      <c r="B5" s="21" t="s">
        <v>21</v>
      </c>
      <c r="C5" s="13"/>
      <c r="D5" s="13"/>
      <c r="E5" s="13"/>
      <c r="F5" s="13"/>
    </row>
    <row r="6" spans="2:6" ht="20.100000000000001" customHeight="1" x14ac:dyDescent="0.3">
      <c r="B6" s="21" t="s">
        <v>11</v>
      </c>
      <c r="C6" s="13">
        <f>'RPA-Set2018'!E10</f>
        <v>2500</v>
      </c>
      <c r="D6" s="13">
        <f>'RPA-Set2018'!F10</f>
        <v>275</v>
      </c>
      <c r="E6" s="13">
        <f>'RPA-Set2018'!G10</f>
        <v>500</v>
      </c>
      <c r="F6" s="13">
        <f>'RPA-Set2018'!H10</f>
        <v>2225</v>
      </c>
    </row>
    <row r="7" spans="2:6" ht="20.100000000000001" customHeight="1" x14ac:dyDescent="0.3">
      <c r="B7" s="21" t="s">
        <v>15</v>
      </c>
      <c r="C7" s="13">
        <f>'RPA-Out2018'!E10</f>
        <v>2395</v>
      </c>
      <c r="D7" s="13">
        <f>'RPA-Out2018'!F10</f>
        <v>263.45</v>
      </c>
      <c r="E7" s="13">
        <f>'RPA-Out2018'!G10</f>
        <v>479</v>
      </c>
      <c r="F7" s="13">
        <f>'RPA-Out2018'!H10</f>
        <v>2131.5500000000002</v>
      </c>
    </row>
    <row r="8" spans="2:6" ht="20.100000000000001" customHeight="1" x14ac:dyDescent="0.3">
      <c r="B8" s="21" t="s">
        <v>21</v>
      </c>
      <c r="C8" s="13"/>
      <c r="D8" s="13"/>
      <c r="E8" s="13"/>
      <c r="F8" s="13"/>
    </row>
    <row r="9" spans="2:6" ht="20.100000000000001" customHeight="1" x14ac:dyDescent="0.3">
      <c r="B9" s="15" t="s">
        <v>22</v>
      </c>
      <c r="C9" s="14">
        <f>SUM(C5:C8)</f>
        <v>4895</v>
      </c>
      <c r="D9" s="14">
        <f t="shared" ref="D9:F9" si="0">SUM(D5:D8)</f>
        <v>538.45000000000005</v>
      </c>
      <c r="E9" s="14">
        <f t="shared" si="0"/>
        <v>979</v>
      </c>
      <c r="F9" s="14">
        <f t="shared" si="0"/>
        <v>4356.55</v>
      </c>
    </row>
    <row r="10" spans="2:6" ht="20.100000000000001" customHeight="1" x14ac:dyDescent="0.3"/>
    <row r="11" spans="2:6" ht="20.100000000000001" customHeight="1" x14ac:dyDescent="0.3"/>
    <row r="12" spans="2:6" ht="20.100000000000001" customHeight="1" x14ac:dyDescent="0.3"/>
    <row r="13" spans="2:6" ht="20.100000000000001" customHeight="1" x14ac:dyDescent="0.3"/>
    <row r="14" spans="2:6" ht="20.100000000000001" customHeight="1" x14ac:dyDescent="0.3"/>
    <row r="15" spans="2:6" ht="20.100000000000001" customHeight="1" x14ac:dyDescent="0.3"/>
    <row r="16" spans="2:6" ht="20.100000000000001" customHeight="1" x14ac:dyDescent="0.3"/>
    <row r="17" ht="20.100000000000001" customHeight="1" x14ac:dyDescent="0.3"/>
    <row r="18" ht="20.100000000000001" customHeight="1" x14ac:dyDescent="0.3"/>
    <row r="19" ht="20.100000000000001" customHeight="1" x14ac:dyDescent="0.3"/>
  </sheetData>
  <mergeCells count="1">
    <mergeCell ref="B2:E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RPA-Set2018</vt:lpstr>
      <vt:lpstr>RPA-Out2018</vt:lpstr>
      <vt:lpstr>RPA-Ano2018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Samuel Ferreira</cp:lastModifiedBy>
  <dcterms:created xsi:type="dcterms:W3CDTF">2018-10-10T01:41:43Z</dcterms:created>
  <dcterms:modified xsi:type="dcterms:W3CDTF">2024-07-20T19:23:03Z</dcterms:modified>
</cp:coreProperties>
</file>